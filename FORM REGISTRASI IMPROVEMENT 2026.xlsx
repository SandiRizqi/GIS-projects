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AGEMENT IMPROVEMENT 2026\FORM PENDAFTARAN IMPROVEMENT\"/>
    </mc:Choice>
  </mc:AlternateContent>
  <xr:revisionPtr revIDLastSave="0" documentId="13_ncr:1_{C23B8971-12D6-4D35-9DA9-414C70B20B36}" xr6:coauthVersionLast="47" xr6:coauthVersionMax="47" xr10:uidLastSave="{00000000-0000-0000-0000-000000000000}"/>
  <bookViews>
    <workbookView xWindow="-110" yWindow="-110" windowWidth="19420" windowHeight="10300" tabRatio="758" firstSheet="6" activeTab="11" xr2:uid="{403979FD-A335-4F8C-8BD7-7F32AF5F8CD1}"/>
  </bookViews>
  <sheets>
    <sheet name="A3 R TEKS" sheetId="18" r:id="rId1"/>
    <sheet name="PPS 2.0 1" sheetId="15" r:id="rId2"/>
    <sheet name="PPS 2.0 2" sheetId="16" r:id="rId3"/>
    <sheet name="SS" sheetId="17" r:id="rId4"/>
    <sheet name="QCC 2.0" sheetId="6" r:id="rId5"/>
    <sheet name="QWP" sheetId="9" r:id="rId6"/>
    <sheet name="SO" sheetId="8" r:id="rId7"/>
    <sheet name="FORM QCP" sheetId="4" r:id="rId8"/>
    <sheet name="IMPROVEMENT AGENT" sheetId="5" r:id="rId9"/>
    <sheet name="MOM ID" sheetId="11" r:id="rId10"/>
    <sheet name="MONITORING CIRCLE ID" sheetId="14" r:id="rId11"/>
    <sheet name="FORMAT DOKUMENTASI ID" sheetId="13" r:id="rId12"/>
    <sheet name="DAFTAR HADIR ID" sheetId="12" r:id="rId13"/>
    <sheet name="FORM SAFETY &amp; 5R" sheetId="2" r:id="rId14"/>
  </sheets>
  <externalReferences>
    <externalReference r:id="rId15"/>
    <externalReference r:id="rId16"/>
  </externalReferences>
  <definedNames>
    <definedName name="\p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Fill" hidden="1">[1]LOADING!$A$14:$A$423</definedName>
    <definedName name="_Key1" hidden="1">[1]LOADING!$D$14</definedName>
    <definedName name="_Order1" hidden="1">255</definedName>
    <definedName name="_Sort" hidden="1">[1]LOADING!$B$14:$DC$423</definedName>
    <definedName name="exc185W">#REF!</definedName>
    <definedName name="_xlnm.Print_Area" localSheetId="12">'DAFTAR HADIR ID'!$B$2:$F$33</definedName>
    <definedName name="_xlnm.Print_Area" localSheetId="7">'FORM QCP'!$C$2:$L$50</definedName>
    <definedName name="_xlnm.Print_Area" localSheetId="9">'MOM ID'!$B$6:$P$66</definedName>
    <definedName name="_xlnm.Print_Area" localSheetId="1">'PPS 2.0 1'!$A$1:$CA$58</definedName>
    <definedName name="_xlnm.Print_Area" localSheetId="2">'PPS 2.0 2'!$A$1:$CA$58</definedName>
    <definedName name="_xlnm.Print_Area" localSheetId="4">'QCC 2.0'!$C$2:$L$50</definedName>
    <definedName name="_xlnm.Print_Area" localSheetId="5">QWP!$C$2:$L$49</definedName>
    <definedName name="_xlnm.Print_Area" localSheetId="6">SO!$C$2:$L$49</definedName>
    <definedName name="_xlnm.Print_Area" localSheetId="3">SS!$A$2:$P$79</definedName>
    <definedName name="_xlnm.Print_Area">[2]NEWLO!$A$571:$DD$596</definedName>
    <definedName name="PRINT_AREA_MI">[2]NEWLO!$A$571:$DD$596</definedName>
    <definedName name="_xlnm.Print_Titles" localSheetId="9">'MOM ID'!$6:$7</definedName>
    <definedName name="_xlnm.Print_Titles" localSheetId="2">[2]NEWLO!$1:$11</definedName>
    <definedName name="_xlnm.Print_Titles">[2]NEWLO!$1:$11</definedName>
    <definedName name="PRINT_TITLES_MI" localSheetId="2">[2]NEWLO!$1:$11</definedName>
    <definedName name="PRINT_TITLES_MI">[2]NEWLO!$1:$11</definedName>
    <definedName name="TEST0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4" i="17" l="1"/>
  <c r="Z3" i="17"/>
  <c r="Y3" i="17"/>
  <c r="X3" i="17"/>
  <c r="W3" i="17"/>
  <c r="V3" i="17"/>
  <c r="U3" i="17"/>
  <c r="T3" i="17"/>
  <c r="S3" i="17"/>
  <c r="BA5" i="9" l="1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Kokoh Tri Handoko</author>
  </authors>
  <commentList>
    <comment ref="S6" authorId="0" shapeId="0" xr:uid="{AC074EBC-B082-46D3-BCB2-578782A50AE5}">
      <text>
        <r>
          <rPr>
            <b/>
            <sz val="9"/>
            <color indexed="81"/>
            <rFont val="Tahoma"/>
            <family val="2"/>
          </rPr>
          <t>Kokoh Tri Handoko:</t>
        </r>
        <r>
          <rPr>
            <sz val="9"/>
            <color indexed="81"/>
            <rFont val="Tahoma"/>
            <family val="2"/>
          </rPr>
          <t xml:space="preserve">
ISI DENGAN HASIL PERTEMUAN</t>
        </r>
      </text>
    </comment>
    <comment ref="T6" authorId="0" shapeId="0" xr:uid="{0D28CC27-00D1-4D16-BD40-A152E59B3C0F}">
      <text>
        <r>
          <rPr>
            <b/>
            <sz val="9"/>
            <color indexed="81"/>
            <rFont val="Tahoma"/>
            <family val="2"/>
          </rPr>
          <t>Kokoh Tri Handoko:</t>
        </r>
        <r>
          <rPr>
            <sz val="9"/>
            <color indexed="81"/>
            <rFont val="Tahoma"/>
            <family val="2"/>
          </rPr>
          <t xml:space="preserve">
DI ISI DENGAN HARI PERTEMUAN</t>
        </r>
      </text>
    </comment>
    <comment ref="J11" authorId="0" shapeId="0" xr:uid="{F59325A9-79F0-49CE-A78D-1B11BAF13070}">
      <text>
        <r>
          <rPr>
            <b/>
            <sz val="9"/>
            <color indexed="81"/>
            <rFont val="Tahoma"/>
            <family val="2"/>
          </rPr>
          <t>Kokoh Tri Handoko:</t>
        </r>
        <r>
          <rPr>
            <sz val="9"/>
            <color indexed="81"/>
            <rFont val="Tahoma"/>
            <family val="2"/>
          </rPr>
          <t xml:space="preserve">
Centang pada bagian step yang sudah selesai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tc={C7C1A5E1-F3E9-42CF-8886-6E5CA6C2081E}</author>
    <author>tc={734D4870-F1EF-452C-98FF-8F342A2729AD}</author>
  </authors>
  <commentList>
    <comment ref="B9" authorId="0" shapeId="0" xr:uid="{C7C1A5E1-F3E9-42CF-8886-6E5CA6C2081E}">
      <text>
        <t>[Threaded comment]
Your version of Excel allows you to read this threaded comment; however, any edits to it will get removed if the file is opened in a newer version of Excel. Learn more: https://go.microsoft.com/fwlink/?linkid=870924
Comment:
    Isi dengan total peserta yang hadir</t>
      </text>
    </comment>
    <comment ref="B10" authorId="1" shapeId="0" xr:uid="{734D4870-F1EF-452C-98FF-8F342A27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Siapa yang menyampaikan materi</t>
      </text>
    </comment>
  </commentList>
</comments>
</file>

<file path=xl/sharedStrings.xml><?xml version="1.0" encoding="utf-8"?>
<sst xmlns="http://schemas.openxmlformats.org/spreadsheetml/2006/main" count="831" uniqueCount="272">
  <si>
    <t>PT</t>
  </si>
  <si>
    <t>Disetujui</t>
  </si>
  <si>
    <t>Dibuat</t>
  </si>
  <si>
    <t>SAFETY &amp; 5R IMPLEMENTATION</t>
  </si>
  <si>
    <t>TAP GROUP</t>
  </si>
  <si>
    <t>Yth</t>
  </si>
  <si>
    <t>:</t>
  </si>
  <si>
    <t>NO</t>
  </si>
  <si>
    <t>KATEGORI</t>
  </si>
  <si>
    <t>LINGKUP</t>
  </si>
  <si>
    <t>CHECKLIST (V)</t>
  </si>
  <si>
    <t>PIC</t>
  </si>
  <si>
    <t>KETERANGAN</t>
  </si>
  <si>
    <t>DIDAFTARAKAN</t>
  </si>
  <si>
    <t>TIDAK DIDAFTARKAN</t>
  </si>
  <si>
    <t>EMPLASHMENT</t>
  </si>
  <si>
    <t>KANTOR</t>
  </si>
  <si>
    <t>WORKSHOP</t>
  </si>
  <si>
    <t>GUDANG</t>
  </si>
  <si>
    <t>PKS (MILL)</t>
  </si>
  <si>
    <t>ARMADA</t>
  </si>
  <si>
    <t>Dibuat Oleh,</t>
  </si>
  <si>
    <t>Disetujui Oleh,</t>
  </si>
  <si>
    <t>Nama       :</t>
  </si>
  <si>
    <t>Jabatan   :</t>
  </si>
  <si>
    <t>IMPROVEMENT</t>
  </si>
  <si>
    <t>NAMA</t>
  </si>
  <si>
    <t>NIK</t>
  </si>
  <si>
    <t>DIV</t>
  </si>
  <si>
    <t>JABATAN</t>
  </si>
  <si>
    <t>JENIS IDE</t>
  </si>
  <si>
    <t>IDE KE</t>
  </si>
  <si>
    <t>THEMA</t>
  </si>
  <si>
    <t>Q    C    D    S    M   E</t>
  </si>
  <si>
    <t xml:space="preserve">Nama </t>
  </si>
  <si>
    <t xml:space="preserve">SS ke : </t>
  </si>
  <si>
    <t xml:space="preserve">PT. </t>
  </si>
  <si>
    <t>Divisi</t>
  </si>
  <si>
    <t>Jabatan</t>
  </si>
  <si>
    <t>Jenis Ide</t>
  </si>
  <si>
    <t>Tanggal :</t>
  </si>
  <si>
    <t>THEMA :</t>
  </si>
  <si>
    <t>SEBELUM IMPROVEMENT</t>
  </si>
  <si>
    <t>Keterangan</t>
  </si>
  <si>
    <t>Permasalahan</t>
  </si>
  <si>
    <t>Ilustrasi / Gambar</t>
  </si>
  <si>
    <t>IDE PERBAIKAN / IMPROVEMENT</t>
  </si>
  <si>
    <t>Ide</t>
  </si>
  <si>
    <t>Waktu / Rencana Pelaksanaan Ide :</t>
  </si>
  <si>
    <t>Dari Bulan</t>
  </si>
  <si>
    <t>s.d</t>
  </si>
  <si>
    <r>
      <t xml:space="preserve">SETELAH PERBAIKAN / IMPROVEMENT </t>
    </r>
    <r>
      <rPr>
        <i/>
        <sz val="10"/>
        <rFont val="Arial"/>
        <family val="2"/>
      </rPr>
      <t>(Diisi Setelah Ide Sudah Terealisasi)</t>
    </r>
  </si>
  <si>
    <t>Hasil Perbaikan</t>
  </si>
  <si>
    <t>Penilaian</t>
  </si>
  <si>
    <t>APLIKASI (1 - 100)</t>
  </si>
  <si>
    <t>REWARDS</t>
  </si>
  <si>
    <t>ACT</t>
  </si>
  <si>
    <r>
      <t>JELASKAN DAMPAK TERHADAP ASPEK QCDSME (</t>
    </r>
    <r>
      <rPr>
        <b/>
        <sz val="11"/>
        <rFont val="Arial"/>
        <family val="2"/>
      </rPr>
      <t>Q</t>
    </r>
    <r>
      <rPr>
        <sz val="10"/>
        <rFont val="Arial"/>
        <family val="2"/>
      </rPr>
      <t xml:space="preserve">uality, </t>
    </r>
    <r>
      <rPr>
        <b/>
        <sz val="11"/>
        <rFont val="Arial"/>
        <family val="2"/>
      </rPr>
      <t>C</t>
    </r>
    <r>
      <rPr>
        <sz val="10"/>
        <rFont val="Arial"/>
        <family val="2"/>
      </rPr>
      <t xml:space="preserve">ost, </t>
    </r>
    <r>
      <rPr>
        <b/>
        <sz val="11"/>
        <rFont val="Arial"/>
        <family val="2"/>
      </rPr>
      <t>D</t>
    </r>
    <r>
      <rPr>
        <sz val="10"/>
        <rFont val="Arial"/>
        <family val="2"/>
      </rPr>
      <t xml:space="preserve">elivery, </t>
    </r>
    <r>
      <rPr>
        <b/>
        <sz val="11"/>
        <rFont val="Arial"/>
        <family val="2"/>
      </rPr>
      <t>S</t>
    </r>
    <r>
      <rPr>
        <sz val="10"/>
        <rFont val="Arial"/>
        <family val="2"/>
      </rPr>
      <t xml:space="preserve">afety, </t>
    </r>
    <r>
      <rPr>
        <b/>
        <sz val="11"/>
        <rFont val="Arial"/>
        <family val="2"/>
      </rPr>
      <t>M</t>
    </r>
    <r>
      <rPr>
        <sz val="10"/>
        <rFont val="Arial"/>
        <family val="2"/>
      </rPr>
      <t xml:space="preserve">oral, </t>
    </r>
    <r>
      <rPr>
        <b/>
        <sz val="11"/>
        <rFont val="Arial"/>
        <family val="2"/>
      </rPr>
      <t>E</t>
    </r>
    <r>
      <rPr>
        <sz val="10"/>
        <rFont val="Arial"/>
        <family val="2"/>
      </rPr>
      <t>nvironment)</t>
    </r>
  </si>
  <si>
    <t>SEBELUM</t>
  </si>
  <si>
    <t>SESUDAH</t>
  </si>
  <si>
    <t>Q</t>
  </si>
  <si>
    <t>C</t>
  </si>
  <si>
    <t>D</t>
  </si>
  <si>
    <t>S</t>
  </si>
  <si>
    <t>M</t>
  </si>
  <si>
    <t>E</t>
  </si>
  <si>
    <t>Penulis Ide</t>
  </si>
  <si>
    <t>Ka. Section /
Asisten</t>
  </si>
  <si>
    <t>Sub Dept /
Askep</t>
  </si>
  <si>
    <t>Ka. Dept /
EM/SEM/MM</t>
  </si>
  <si>
    <t>GM /
GM Area</t>
  </si>
  <si>
    <t>CEO Region</t>
  </si>
  <si>
    <t>Komite Improvement</t>
  </si>
  <si>
    <t>NAMA GRUP</t>
  </si>
  <si>
    <t>JENIS</t>
  </si>
  <si>
    <t>DEPT / DIV</t>
  </si>
  <si>
    <t>THEMA KE</t>
  </si>
  <si>
    <t>JUDUL TEMA</t>
  </si>
  <si>
    <t>FASILITATOR</t>
  </si>
  <si>
    <t>CIRCLE LEADER</t>
  </si>
  <si>
    <t>THEMA LEADER</t>
  </si>
  <si>
    <t>NOTULEN</t>
  </si>
  <si>
    <t>ANGGOTA</t>
  </si>
  <si>
    <t xml:space="preserve">NAMA </t>
  </si>
  <si>
    <t>Kepada Komite Improvement,</t>
  </si>
  <si>
    <t>Bersama ini kami sampaikan susunan Struktur dan Anggota Group QCC/QCP yang terdiri dari :</t>
  </si>
  <si>
    <t>( Tulis salah satu )</t>
  </si>
  <si>
    <t>NAMA PT</t>
  </si>
  <si>
    <t>NAMA GROUP</t>
  </si>
  <si>
    <t>DEPT/DIV/BAGIAN</t>
  </si>
  <si>
    <t>TGL TERBENTUK</t>
  </si>
  <si>
    <t>TEMA</t>
  </si>
  <si>
    <t xml:space="preserve">Tema Ke : </t>
  </si>
  <si>
    <t>Jabatan :</t>
  </si>
  <si>
    <t>NIK :</t>
  </si>
  <si>
    <t>PROJECT LEADER</t>
  </si>
  <si>
    <t>1.</t>
  </si>
  <si>
    <t>2.</t>
  </si>
  <si>
    <t>3.</t>
  </si>
  <si>
    <t>4.</t>
  </si>
  <si>
    <t>5.</t>
  </si>
  <si>
    <t>6.</t>
  </si>
  <si>
    <t>7.</t>
  </si>
  <si>
    <t>Kota, tgl/bulan/tahun</t>
  </si>
  <si>
    <t>Site……………...………………….Tgl…………………………….</t>
  </si>
  <si>
    <t>Nama</t>
  </si>
  <si>
    <t>NAMA GROOUP QCC</t>
  </si>
  <si>
    <t>Bersama ini kami sampaikan susunan Struktur dan Anggota Group QCC :</t>
  </si>
  <si>
    <t>FORM PEMBENTUKAN TIM PROFIL CIRCLE</t>
  </si>
  <si>
    <t>Bersama ini kami sampaikan susunan Struktur dan Anggota Group Support Operation yang terdiri dari :</t>
  </si>
  <si>
    <t>Bersama ini kami sampaikan susunan Struktur dan Anggota Group Quality Workplace yang terdiri dari :</t>
  </si>
  <si>
    <t>FORM PENDAFTARAN PESERTA IMPROVEMENT AGENT</t>
  </si>
  <si>
    <t>AGENT</t>
  </si>
  <si>
    <t>Notulen</t>
  </si>
  <si>
    <t xml:space="preserve">KEPUTUSAN/PEMBAHASAN REVIEW </t>
  </si>
  <si>
    <t>KEPUTUSAN/PEMBAHASAN</t>
  </si>
  <si>
    <t>DUE DATE</t>
  </si>
  <si>
    <t>STATUS</t>
  </si>
  <si>
    <t>Data Cuti :</t>
  </si>
  <si>
    <t>Dibuat :</t>
  </si>
  <si>
    <t>Disetujui :</t>
  </si>
  <si>
    <t>(Nama)</t>
  </si>
  <si>
    <t>Komentar Atasan</t>
  </si>
  <si>
    <t>Atasan 1</t>
  </si>
  <si>
    <t>Atasan 2</t>
  </si>
  <si>
    <t>MINUTES OF MEETING IMPROVEMENT DAY</t>
  </si>
  <si>
    <t>DAFTAR HADIR</t>
  </si>
  <si>
    <t xml:space="preserve">IMPROVEMENT DAY </t>
  </si>
  <si>
    <t xml:space="preserve">HARI/TANGGAL  : </t>
  </si>
  <si>
    <t>TTD</t>
  </si>
  <si>
    <t xml:space="preserve">                  :</t>
  </si>
  <si>
    <t xml:space="preserve">AGENDA               : </t>
  </si>
  <si>
    <t>JANUARI</t>
  </si>
  <si>
    <t>FEBRUARI</t>
  </si>
  <si>
    <t>MARET</t>
  </si>
  <si>
    <t>APRIL</t>
  </si>
  <si>
    <t>MEI</t>
  </si>
  <si>
    <t>JUNI</t>
  </si>
  <si>
    <t>JULI</t>
  </si>
  <si>
    <t>W1</t>
  </si>
  <si>
    <t>W2</t>
  </si>
  <si>
    <t>W3</t>
  </si>
  <si>
    <t>W4</t>
  </si>
  <si>
    <t>W5</t>
  </si>
  <si>
    <t>Jumlah Peserta :</t>
  </si>
  <si>
    <t>PIC:</t>
  </si>
  <si>
    <t>Diketahui Oleh,</t>
  </si>
  <si>
    <t>EM/MM/Dept. Head</t>
  </si>
  <si>
    <t>SEM/SMM/SDH, GM/Div. Head</t>
  </si>
  <si>
    <t>LAPORAN PROGRESS PELAKSANAAN IMPROVEMENT</t>
  </si>
  <si>
    <t>PT. …..</t>
  </si>
  <si>
    <t>Nama Circle/Karyawan</t>
  </si>
  <si>
    <t>Judul Improvement</t>
  </si>
  <si>
    <t>Leader</t>
  </si>
  <si>
    <t>Notulensi</t>
  </si>
  <si>
    <t>Jenis Improvement</t>
  </si>
  <si>
    <t>Tahun 2024 STEP yang sudah di jalankan</t>
  </si>
  <si>
    <t>Anggota/Member</t>
  </si>
  <si>
    <t>Jadwal Pertemuan</t>
  </si>
  <si>
    <t>Circle</t>
  </si>
  <si>
    <t>Thema</t>
  </si>
  <si>
    <t>Tanggal Pertemuan</t>
  </si>
  <si>
    <t>Penjelasan :</t>
  </si>
  <si>
    <t>Tool Yang digunakan :</t>
  </si>
  <si>
    <t>Step 1</t>
  </si>
  <si>
    <t>: Menentukan Thema</t>
  </si>
  <si>
    <t>1. Check Sheet &amp; Startifikasi</t>
  </si>
  <si>
    <t>Step 2</t>
  </si>
  <si>
    <t>: Analisa Kondisi Yang Ada</t>
  </si>
  <si>
    <t>2. Grafik</t>
  </si>
  <si>
    <t>Step 3</t>
  </si>
  <si>
    <t>: Menetapkan Target</t>
  </si>
  <si>
    <t>3.  Diagram Pareto</t>
  </si>
  <si>
    <t>Step 4</t>
  </si>
  <si>
    <t>: Analisa Sebab - Akibat</t>
  </si>
  <si>
    <t>4. Diagram Fishbone</t>
  </si>
  <si>
    <t>Step 5</t>
  </si>
  <si>
    <t>: Merencanakan Penanggulangan</t>
  </si>
  <si>
    <t>5. Histogram</t>
  </si>
  <si>
    <t>Step 6</t>
  </si>
  <si>
    <t>: Melaksanakan Penanggulangan</t>
  </si>
  <si>
    <t>6. Control Cart</t>
  </si>
  <si>
    <t>Step 7</t>
  </si>
  <si>
    <t>: Evaluasi Hasil</t>
  </si>
  <si>
    <t>7. Diagram Pencar/Scater</t>
  </si>
  <si>
    <t>Step 8</t>
  </si>
  <si>
    <t>: Standarisasi &amp; Tindak Lanjut</t>
  </si>
  <si>
    <t>DOKUMENTASI IMPROVEMENT DAY</t>
  </si>
  <si>
    <t>A3 Report PPS 2.0</t>
  </si>
  <si>
    <t>Approved</t>
  </si>
  <si>
    <t>Checked</t>
  </si>
  <si>
    <t>Prepared</t>
  </si>
  <si>
    <t xml:space="preserve">Dibuat tanggal : </t>
  </si>
  <si>
    <t>A3 Report Improvement</t>
  </si>
  <si>
    <t xml:space="preserve"> Schedule Kaizen</t>
  </si>
  <si>
    <t>Kaizen Activity</t>
  </si>
  <si>
    <t>Cost Reduction</t>
  </si>
  <si>
    <t>Mencari Solusi Penanggulangan</t>
  </si>
  <si>
    <r>
      <t xml:space="preserve">   Sosialisasi Kondisi Scrap </t>
    </r>
    <r>
      <rPr>
        <b/>
        <sz val="8"/>
        <color rgb="FFFF0000"/>
        <rFont val="Arial"/>
        <family val="2"/>
      </rPr>
      <t>(Example)</t>
    </r>
  </si>
  <si>
    <t>1.  REDUCE OPERATIONAL COST</t>
  </si>
  <si>
    <t xml:space="preserve">     1.1 Reduce Rework/Scrap</t>
  </si>
  <si>
    <t xml:space="preserve">     1.2 Reduce Overtime cost</t>
  </si>
  <si>
    <t xml:space="preserve">     1.3 Saving Material</t>
  </si>
  <si>
    <t xml:space="preserve">     1.4 Reduce claim / Warranty cost</t>
  </si>
  <si>
    <t xml:space="preserve">     1.5 Others cost / Etc :</t>
  </si>
  <si>
    <t>2.  INCREASE OF INCOME</t>
  </si>
  <si>
    <r>
      <t xml:space="preserve">  Prep Bunker </t>
    </r>
    <r>
      <rPr>
        <b/>
        <sz val="8"/>
        <color rgb="FFFF0000"/>
        <rFont val="Arial"/>
        <family val="2"/>
      </rPr>
      <t>(Example)</t>
    </r>
  </si>
  <si>
    <t xml:space="preserve">     2.1 Increase Capacity</t>
  </si>
  <si>
    <t xml:space="preserve">     2.2 New Income (real)</t>
  </si>
  <si>
    <t>3.  INTEREST INCOME</t>
  </si>
  <si>
    <t xml:space="preserve">     3.1 Increase of interest income</t>
  </si>
  <si>
    <t xml:space="preserve">     3.2 Decrease of interest income</t>
  </si>
  <si>
    <t>4.  CASH FLOW</t>
  </si>
  <si>
    <t xml:space="preserve">     4.1 Reduction of use facility</t>
  </si>
  <si>
    <t xml:space="preserve">     4.2 Reduction in charge/bill  [A/R]</t>
  </si>
  <si>
    <t xml:space="preserve">     4.3 Reduction holding cost inventory</t>
  </si>
  <si>
    <r>
      <t xml:space="preserve"> Buat Tag Bunker Scrap  </t>
    </r>
    <r>
      <rPr>
        <b/>
        <sz val="8"/>
        <color rgb="FFFF0000"/>
        <rFont val="Arial"/>
        <family val="2"/>
      </rPr>
      <t>(Example)</t>
    </r>
  </si>
  <si>
    <t>A. TOTAL BENEFIT  (1+2+3+4)</t>
  </si>
  <si>
    <t>Incremental Cost Only</t>
  </si>
  <si>
    <r>
      <t xml:space="preserve"> Buat Std Charging (</t>
    </r>
    <r>
      <rPr>
        <b/>
        <sz val="8"/>
        <color rgb="FFFF0000"/>
        <rFont val="Arial"/>
        <family val="2"/>
      </rPr>
      <t>Example)</t>
    </r>
  </si>
  <si>
    <t>COST PROJECT (Incremental cost only)</t>
  </si>
  <si>
    <t>1. PROJECT DEVELOPMENT</t>
  </si>
  <si>
    <t xml:space="preserve">    1.1 Man Hour Team</t>
  </si>
  <si>
    <t xml:space="preserve">    1.2 Cost of Material, printing, ect</t>
  </si>
  <si>
    <t xml:space="preserve">    1.3 Others :</t>
  </si>
  <si>
    <t>2,  IMPLEMENTATION PROJECT</t>
  </si>
  <si>
    <t xml:space="preserve">     2.1 Training</t>
  </si>
  <si>
    <t xml:space="preserve">     2.2 Socialization</t>
  </si>
  <si>
    <t xml:space="preserve">     2.3 Equipment, Etc</t>
  </si>
  <si>
    <t>B. TOTAL COST OF PROJECT (1+2)</t>
  </si>
  <si>
    <t xml:space="preserve">NET QUALITY INCOME (A-B) </t>
  </si>
  <si>
    <t>RATIO BENEFIT / COST (B/A)</t>
  </si>
  <si>
    <t>Comment :</t>
  </si>
  <si>
    <t>Menambah Wawasan Improvement</t>
  </si>
  <si>
    <t>Dengan ini kami mendaftarkan peserta implementasi Safety &amp; 5R untuk Konvensi Imporovement sebagai berikut</t>
  </si>
  <si>
    <t>POLIBUN</t>
  </si>
  <si>
    <t>,';</t>
  </si>
  <si>
    <t>FORM DAFTAR GROUP QCC/QCP</t>
  </si>
  <si>
    <t>GROUP (QCP/QCC)</t>
  </si>
  <si>
    <t xml:space="preserve">
</t>
  </si>
  <si>
    <t>Komentar Atasan untuk ide yang telah selesai</t>
  </si>
  <si>
    <t>COST &amp; BENEFIT</t>
  </si>
  <si>
    <t>TRIPUTRA AGRO PERSADA IMPROVEMENT FORUM AWARD</t>
  </si>
  <si>
    <t>SUMMARY IMPROVEMENT (A3 REPORT OVERVIEW)</t>
  </si>
  <si>
    <t>Facilitator</t>
  </si>
  <si>
    <t>Thema Leader</t>
  </si>
  <si>
    <t>INDIVIDUAL / GROUP  NAME</t>
  </si>
  <si>
    <t>TITLE  TEKS</t>
  </si>
  <si>
    <t>MEMBER TEAM /DIVISION</t>
  </si>
  <si>
    <t>COMPANY</t>
  </si>
  <si>
    <t>SUMMARY IMPROVEMENT PROJECT</t>
  </si>
  <si>
    <t>INTENGIBLE  BENEFIT</t>
  </si>
  <si>
    <t>BEFORE</t>
  </si>
  <si>
    <t>AFTER</t>
  </si>
  <si>
    <t>(Description / Condition BEFORE Improvement)</t>
  </si>
  <si>
    <t>(Description / Process of Improvement)</t>
  </si>
  <si>
    <t>(Description / Condition AFTER Improvement)</t>
  </si>
  <si>
    <t xml:space="preserve">SQDSMPE Benefit Improvement Project :
</t>
  </si>
  <si>
    <t xml:space="preserve">Rp. </t>
  </si>
  <si>
    <t>Rp.</t>
  </si>
  <si>
    <t>1. QUALITY</t>
  </si>
  <si>
    <t>2. DELIVERY</t>
  </si>
  <si>
    <t>3. SAFETY</t>
  </si>
  <si>
    <t>4. MORAL</t>
  </si>
  <si>
    <r>
      <t xml:space="preserve">Sketch / Image / Tabel / Description </t>
    </r>
    <r>
      <rPr>
        <b/>
        <sz val="10"/>
        <color indexed="12"/>
        <rFont val="Arial"/>
        <family val="2"/>
      </rPr>
      <t>BEFORE</t>
    </r>
    <r>
      <rPr>
        <b/>
        <sz val="10"/>
        <rFont val="Arial"/>
        <family val="2"/>
      </rPr>
      <t xml:space="preserve"> Improvement</t>
    </r>
  </si>
  <si>
    <r>
      <t xml:space="preserve">Sketch / Image / Tabel / Description </t>
    </r>
    <r>
      <rPr>
        <b/>
        <sz val="10"/>
        <color indexed="12"/>
        <rFont val="Arial"/>
        <family val="2"/>
      </rPr>
      <t>AFTER</t>
    </r>
    <r>
      <rPr>
        <b/>
        <sz val="10"/>
        <rFont val="Arial"/>
        <family val="2"/>
      </rPr>
      <t xml:space="preserve"> Improvement</t>
    </r>
  </si>
  <si>
    <t>5. PRODUCTIVITY</t>
  </si>
  <si>
    <t>6. ENVIRONMENT</t>
  </si>
  <si>
    <t>LAPORAN IDE PERBAIKAN SS</t>
  </si>
  <si>
    <t>…...........,….........................  2025</t>
  </si>
  <si>
    <t>FORM PENDAFTARAN PESERTA KONVENSI TIFA XV 2025</t>
  </si>
  <si>
    <t>FORM DAFTAR QCC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</si>
</sst>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(&quot;Rp&quot;* #,##0_);_(&quot;Rp&quot;* \(#,##0\);_(&quot;Rp&quot;* &quot;-&quot;_);_(@_)"/>
  </numFmts>
  <fonts count="6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3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i/>
      <sz val="12"/>
      <name val="Arial"/>
      <family val="2"/>
    </font>
    <font>
      <b/>
      <sz val="14"/>
      <name val="Tahoma"/>
      <family val="2"/>
    </font>
    <font>
      <b/>
      <i/>
      <sz val="10"/>
      <name val="Arial"/>
      <family val="2"/>
    </font>
    <font>
      <b/>
      <sz val="12"/>
      <name val="Tahoma"/>
      <family val="2"/>
    </font>
    <font>
      <sz val="9"/>
      <name val="Arial"/>
      <family val="2"/>
    </font>
    <font>
      <b/>
      <sz val="10"/>
      <name val="Tahoma"/>
      <family val="2"/>
    </font>
    <font>
      <i/>
      <sz val="12"/>
      <name val="Arial"/>
      <family val="2"/>
    </font>
    <font>
      <b/>
      <i/>
      <sz val="11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5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indexed="23"/>
      <name val="Arial"/>
      <family val="2"/>
    </font>
    <font>
      <b/>
      <sz val="10"/>
      <color indexed="23"/>
      <name val="Arial"/>
      <family val="2"/>
    </font>
    <font>
      <b/>
      <u/>
      <sz val="10"/>
      <name val="Arial"/>
      <family val="2"/>
    </font>
    <font>
      <b/>
      <sz val="14"/>
      <name val="Verdana"/>
      <family val="2"/>
    </font>
    <font>
      <b/>
      <sz val="14"/>
      <color theme="0" tint="-0.34998626667073579"/>
      <name val="Arial"/>
      <family val="2"/>
    </font>
    <font>
      <u/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4"/>
      <name val="Arial"/>
      <family val="2"/>
    </font>
    <font>
      <sz val="10"/>
      <color indexed="8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i/>
      <sz val="7"/>
      <name val="Arial"/>
      <family val="2"/>
    </font>
    <font>
      <b/>
      <sz val="10"/>
      <color theme="0"/>
      <name val="Arial"/>
      <family val="2"/>
    </font>
    <font>
      <b/>
      <sz val="8"/>
      <color rgb="FFFF0000"/>
      <name val="Arial"/>
      <family val="2"/>
    </font>
    <font>
      <sz val="6"/>
      <name val="Arial"/>
      <family val="2"/>
    </font>
    <font>
      <b/>
      <sz val="11"/>
      <color theme="0"/>
      <name val="Arial"/>
      <family val="2"/>
    </font>
    <font>
      <sz val="10"/>
      <name val="Arial Narrow"/>
      <family val="2"/>
    </font>
    <font>
      <b/>
      <sz val="16"/>
      <color rgb="FFC00000"/>
      <name val="Arial"/>
      <family val="2"/>
    </font>
    <font>
      <b/>
      <sz val="16"/>
      <color rgb="FF002060"/>
      <name val="Arial"/>
      <family val="2"/>
    </font>
    <font>
      <sz val="10"/>
      <color rgb="FFC00000"/>
      <name val="Arial"/>
      <family val="2"/>
    </font>
    <font>
      <sz val="8"/>
      <color theme="1"/>
      <name val="Arial"/>
      <family val="2"/>
    </font>
    <font>
      <b/>
      <sz val="12"/>
      <color rgb="FF002060"/>
      <name val="Arial"/>
      <family val="2"/>
    </font>
    <font>
      <b/>
      <sz val="14"/>
      <color indexed="12"/>
      <name val="Arial"/>
      <family val="2"/>
    </font>
    <font>
      <b/>
      <sz val="20"/>
      <name val="Arial"/>
      <family val="2"/>
    </font>
    <font>
      <sz val="20"/>
      <color indexed="12"/>
      <name val="Arial"/>
      <family val="2"/>
    </font>
    <font>
      <sz val="12"/>
      <name val="Arial Narrow"/>
      <family val="2"/>
    </font>
    <font>
      <b/>
      <sz val="12"/>
      <color indexed="9"/>
      <name val="Arial"/>
      <family val="2"/>
    </font>
    <font>
      <sz val="11"/>
      <name val="Arial"/>
      <family val="2"/>
    </font>
    <font>
      <sz val="10"/>
      <color rgb="FF000000"/>
      <name val="Calibri"/>
      <family val="2"/>
    </font>
    <font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b/>
      <sz val="14"/>
      <color indexed="9"/>
      <name val="Arial"/>
      <family val="2"/>
    </font>
    <font>
      <sz val="10"/>
      <color rgb="FF1912AE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tted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8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2" xfId="0" applyFill="1" applyBorder="1"/>
    <xf numFmtId="0" fontId="1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4" fillId="0" borderId="0" xfId="1"/>
    <xf numFmtId="0" fontId="7" fillId="0" borderId="0" xfId="1" applyFont="1" applyAlignment="1">
      <alignment horizontal="center"/>
    </xf>
    <xf numFmtId="0" fontId="4" fillId="0" borderId="13" xfId="1" applyBorder="1" applyAlignment="1">
      <alignment horizontal="center"/>
    </xf>
    <xf numFmtId="0" fontId="9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14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top" wrapText="1"/>
    </xf>
    <xf numFmtId="0" fontId="19" fillId="0" borderId="0" xfId="1" applyFont="1" applyAlignment="1">
      <alignment vertical="center"/>
    </xf>
    <xf numFmtId="0" fontId="4" fillId="0" borderId="0" xfId="1" applyAlignment="1">
      <alignment vertical="top" wrapText="1"/>
    </xf>
    <xf numFmtId="0" fontId="21" fillId="0" borderId="0" xfId="1" applyFont="1" applyAlignment="1">
      <alignment horizontal="center" vertical="center" wrapText="1"/>
    </xf>
    <xf numFmtId="0" fontId="21" fillId="0" borderId="0" xfId="1" applyFont="1" applyAlignment="1">
      <alignment vertical="center" wrapText="1"/>
    </xf>
    <xf numFmtId="0" fontId="21" fillId="0" borderId="0" xfId="1" applyFont="1"/>
    <xf numFmtId="0" fontId="22" fillId="0" borderId="0" xfId="1" applyFont="1" applyAlignment="1">
      <alignment horizontal="right" vertical="top"/>
    </xf>
    <xf numFmtId="0" fontId="7" fillId="0" borderId="0" xfId="1" applyFont="1"/>
    <xf numFmtId="0" fontId="0" fillId="0" borderId="13" xfId="0" applyBorder="1" applyAlignment="1">
      <alignment horizontal="center"/>
    </xf>
    <xf numFmtId="0" fontId="0" fillId="2" borderId="6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51" xfId="0" applyFill="1" applyBorder="1"/>
    <xf numFmtId="0" fontId="0" fillId="2" borderId="59" xfId="0" applyFill="1" applyBorder="1"/>
    <xf numFmtId="0" fontId="0" fillId="2" borderId="60" xfId="0" applyFill="1" applyBorder="1"/>
    <xf numFmtId="0" fontId="25" fillId="2" borderId="34" xfId="0" applyFont="1" applyFill="1" applyBorder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9" fillId="0" borderId="0" xfId="1" applyFont="1" applyAlignment="1">
      <alignment vertical="center"/>
    </xf>
    <xf numFmtId="0" fontId="4" fillId="0" borderId="2" xfId="1" applyBorder="1" applyAlignment="1">
      <alignment vertical="center"/>
    </xf>
    <xf numFmtId="0" fontId="4" fillId="0" borderId="0" xfId="1" applyAlignment="1">
      <alignment vertical="center"/>
    </xf>
    <xf numFmtId="0" fontId="4" fillId="0" borderId="0" xfId="1" applyAlignment="1">
      <alignment horizontal="left" vertical="center"/>
    </xf>
    <xf numFmtId="0" fontId="4" fillId="0" borderId="9" xfId="1" applyBorder="1" applyAlignment="1">
      <alignment vertical="center"/>
    </xf>
    <xf numFmtId="0" fontId="4" fillId="0" borderId="10" xfId="1" applyBorder="1" applyAlignment="1">
      <alignment vertical="center"/>
    </xf>
    <xf numFmtId="0" fontId="7" fillId="0" borderId="0" xfId="1" applyFont="1" applyAlignment="1">
      <alignment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27" fillId="3" borderId="0" xfId="1" applyFont="1" applyFill="1" applyAlignment="1">
      <alignment vertical="center"/>
    </xf>
    <xf numFmtId="0" fontId="4" fillId="3" borderId="0" xfId="1" applyFill="1"/>
    <xf numFmtId="0" fontId="4" fillId="3" borderId="0" xfId="1" applyFill="1" applyAlignment="1">
      <alignment vertical="center"/>
    </xf>
    <xf numFmtId="0" fontId="4" fillId="3" borderId="6" xfId="1" applyFill="1" applyBorder="1" applyAlignment="1">
      <alignment vertical="center"/>
    </xf>
    <xf numFmtId="0" fontId="4" fillId="3" borderId="7" xfId="1" applyFill="1" applyBorder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4" fillId="3" borderId="2" xfId="1" applyFill="1" applyBorder="1" applyAlignment="1">
      <alignment horizontal="left" vertical="center"/>
    </xf>
    <xf numFmtId="0" fontId="30" fillId="3" borderId="2" xfId="1" applyFont="1" applyFill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4" fillId="3" borderId="1" xfId="1" applyFill="1" applyBorder="1" applyAlignment="1">
      <alignment horizontal="left" vertical="center"/>
    </xf>
    <xf numFmtId="15" fontId="4" fillId="3" borderId="1" xfId="1" quotePrefix="1" applyNumberFormat="1" applyFill="1" applyBorder="1" applyAlignment="1">
      <alignment horizontal="left" vertical="center"/>
    </xf>
    <xf numFmtId="16" fontId="4" fillId="3" borderId="3" xfId="1" applyNumberFormat="1" applyFill="1" applyBorder="1" applyAlignment="1">
      <alignment horizontal="left" vertical="center"/>
    </xf>
    <xf numFmtId="16" fontId="4" fillId="3" borderId="2" xfId="1" applyNumberFormat="1" applyFill="1" applyBorder="1" applyAlignment="1">
      <alignment horizontal="left" vertical="center"/>
    </xf>
    <xf numFmtId="0" fontId="4" fillId="3" borderId="3" xfId="1" applyFill="1" applyBorder="1" applyAlignment="1">
      <alignment horizontal="left" vertical="center"/>
    </xf>
    <xf numFmtId="0" fontId="26" fillId="3" borderId="0" xfId="1" applyFont="1" applyFill="1" applyAlignment="1">
      <alignment vertical="center"/>
    </xf>
    <xf numFmtId="0" fontId="7" fillId="3" borderId="0" xfId="1" applyFont="1" applyFill="1"/>
    <xf numFmtId="0" fontId="7" fillId="3" borderId="6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vertical="center"/>
    </xf>
    <xf numFmtId="0" fontId="4" fillId="3" borderId="6" xfId="1" applyFill="1" applyBorder="1" applyAlignment="1">
      <alignment horizontal="left" vertical="center"/>
    </xf>
    <xf numFmtId="0" fontId="4" fillId="3" borderId="7" xfId="1" quotePrefix="1" applyFill="1" applyBorder="1" applyAlignment="1">
      <alignment horizontal="left" vertical="center"/>
    </xf>
    <xf numFmtId="16" fontId="27" fillId="0" borderId="0" xfId="1" quotePrefix="1" applyNumberFormat="1" applyFont="1" applyAlignment="1">
      <alignment vertical="center"/>
    </xf>
    <xf numFmtId="0" fontId="4" fillId="3" borderId="6" xfId="1" quotePrefix="1" applyFill="1" applyBorder="1" applyAlignment="1">
      <alignment vertical="center"/>
    </xf>
    <xf numFmtId="0" fontId="27" fillId="3" borderId="0" xfId="1" quotePrefix="1" applyFont="1" applyFill="1" applyAlignment="1">
      <alignment vertical="center"/>
    </xf>
    <xf numFmtId="0" fontId="7" fillId="3" borderId="6" xfId="1" quotePrefix="1" applyFont="1" applyFill="1" applyBorder="1" applyAlignment="1">
      <alignment vertical="center"/>
    </xf>
    <xf numFmtId="0" fontId="4" fillId="3" borderId="6" xfId="1" quotePrefix="1" applyFill="1" applyBorder="1" applyAlignment="1">
      <alignment horizontal="left" vertical="center"/>
    </xf>
    <xf numFmtId="16" fontId="4" fillId="3" borderId="7" xfId="1" quotePrefix="1" applyNumberFormat="1" applyFill="1" applyBorder="1" applyAlignment="1">
      <alignment horizontal="left" vertical="center"/>
    </xf>
    <xf numFmtId="16" fontId="27" fillId="3" borderId="0" xfId="1" quotePrefix="1" applyNumberFormat="1" applyFont="1" applyFill="1" applyAlignment="1">
      <alignment vertical="center"/>
    </xf>
    <xf numFmtId="16" fontId="4" fillId="3" borderId="7" xfId="1" applyNumberFormat="1" applyFill="1" applyBorder="1" applyAlignment="1">
      <alignment horizontal="left" vertical="center"/>
    </xf>
    <xf numFmtId="0" fontId="4" fillId="3" borderId="7" xfId="1" applyFill="1" applyBorder="1" applyAlignment="1">
      <alignment horizontal="left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8" xfId="1" quotePrefix="1" applyFont="1" applyFill="1" applyBorder="1" applyAlignment="1">
      <alignment vertical="center"/>
    </xf>
    <xf numFmtId="0" fontId="4" fillId="3" borderId="9" xfId="1" applyFill="1" applyBorder="1" applyAlignment="1">
      <alignment horizontal="left" vertical="center" indent="2"/>
    </xf>
    <xf numFmtId="0" fontId="4" fillId="3" borderId="9" xfId="1" applyFill="1" applyBorder="1" applyAlignment="1">
      <alignment horizontal="left" vertical="center"/>
    </xf>
    <xf numFmtId="0" fontId="4" fillId="3" borderId="10" xfId="1" applyFill="1" applyBorder="1" applyAlignment="1">
      <alignment vertical="center"/>
    </xf>
    <xf numFmtId="0" fontId="4" fillId="3" borderId="8" xfId="1" applyFill="1" applyBorder="1" applyAlignment="1">
      <alignment horizontal="left" vertical="center"/>
    </xf>
    <xf numFmtId="0" fontId="4" fillId="3" borderId="10" xfId="1" applyFill="1" applyBorder="1" applyAlignment="1">
      <alignment horizontal="left" vertical="center"/>
    </xf>
    <xf numFmtId="0" fontId="31" fillId="3" borderId="0" xfId="1" applyFont="1" applyFill="1" applyAlignment="1">
      <alignment vertical="center"/>
    </xf>
    <xf numFmtId="0" fontId="8" fillId="3" borderId="6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vertical="center"/>
    </xf>
    <xf numFmtId="0" fontId="8" fillId="3" borderId="6" xfId="1" applyFont="1" applyFill="1" applyBorder="1" applyAlignment="1">
      <alignment vertical="center"/>
    </xf>
    <xf numFmtId="0" fontId="8" fillId="3" borderId="9" xfId="1" applyFont="1" applyFill="1" applyBorder="1" applyAlignment="1">
      <alignment vertical="center"/>
    </xf>
    <xf numFmtId="0" fontId="8" fillId="3" borderId="10" xfId="1" applyFont="1" applyFill="1" applyBorder="1" applyAlignment="1">
      <alignment vertical="center"/>
    </xf>
    <xf numFmtId="0" fontId="8" fillId="3" borderId="8" xfId="1" applyFont="1" applyFill="1" applyBorder="1" applyAlignment="1">
      <alignment vertical="center"/>
    </xf>
    <xf numFmtId="0" fontId="4" fillId="3" borderId="0" xfId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21" fillId="3" borderId="0" xfId="1" applyFont="1" applyFill="1" applyAlignment="1">
      <alignment horizontal="center" vertical="center"/>
    </xf>
    <xf numFmtId="0" fontId="33" fillId="3" borderId="0" xfId="1" applyFont="1" applyFill="1" applyAlignment="1">
      <alignment vertical="center"/>
    </xf>
    <xf numFmtId="0" fontId="4" fillId="3" borderId="0" xfId="1" quotePrefix="1" applyFill="1" applyAlignment="1">
      <alignment horizontal="center" vertical="center"/>
    </xf>
    <xf numFmtId="0" fontId="4" fillId="3" borderId="0" xfId="1" quotePrefix="1" applyFill="1" applyAlignment="1">
      <alignment vertical="center"/>
    </xf>
    <xf numFmtId="0" fontId="4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3" fillId="0" borderId="0" xfId="1" applyFont="1" applyAlignment="1">
      <alignment vertical="center"/>
    </xf>
    <xf numFmtId="0" fontId="4" fillId="0" borderId="0" xfId="1" quotePrefix="1" applyAlignment="1">
      <alignment horizontal="center" vertical="center"/>
    </xf>
    <xf numFmtId="0" fontId="35" fillId="2" borderId="2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left" vertical="center" wrapText="1"/>
    </xf>
    <xf numFmtId="0" fontId="35" fillId="2" borderId="7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24" fillId="0" borderId="0" xfId="0" applyFont="1"/>
    <xf numFmtId="0" fontId="1" fillId="5" borderId="46" xfId="0" applyFont="1" applyFill="1" applyBorder="1" applyAlignment="1">
      <alignment horizontal="center" vertical="center"/>
    </xf>
    <xf numFmtId="0" fontId="0" fillId="5" borderId="46" xfId="0" applyFill="1" applyBorder="1" applyAlignment="1">
      <alignment horizontal="center"/>
    </xf>
    <xf numFmtId="0" fontId="0" fillId="0" borderId="63" xfId="0" applyBorder="1" applyAlignment="1">
      <alignment horizontal="center"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3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65" xfId="0" applyBorder="1" applyAlignment="1">
      <alignment horizontal="center" vertical="center" wrapText="1"/>
    </xf>
    <xf numFmtId="0" fontId="0" fillId="0" borderId="65" xfId="0" applyBorder="1" applyAlignment="1">
      <alignment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5" xfId="0" applyBorder="1" applyAlignment="1">
      <alignment horizontal="left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7" xfId="0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1" fillId="6" borderId="13" xfId="0" applyFont="1" applyFill="1" applyBorder="1" applyAlignment="1">
      <alignment horizontal="center" vertical="center"/>
    </xf>
    <xf numFmtId="0" fontId="4" fillId="0" borderId="47" xfId="1" applyBorder="1"/>
    <xf numFmtId="0" fontId="4" fillId="0" borderId="48" xfId="1" applyBorder="1"/>
    <xf numFmtId="0" fontId="4" fillId="0" borderId="49" xfId="1" applyBorder="1"/>
    <xf numFmtId="0" fontId="4" fillId="0" borderId="0" xfId="1" applyAlignment="1">
      <alignment horizontal="center"/>
    </xf>
    <xf numFmtId="0" fontId="4" fillId="0" borderId="50" xfId="1" applyBorder="1"/>
    <xf numFmtId="0" fontId="4" fillId="0" borderId="51" xfId="1" applyBorder="1"/>
    <xf numFmtId="0" fontId="4" fillId="0" borderId="58" xfId="1" applyBorder="1"/>
    <xf numFmtId="0" fontId="4" fillId="0" borderId="59" xfId="1" applyBorder="1"/>
    <xf numFmtId="0" fontId="4" fillId="0" borderId="60" xfId="1" applyBorder="1"/>
    <xf numFmtId="0" fontId="21" fillId="0" borderId="59" xfId="1" applyFont="1" applyBorder="1" applyAlignment="1">
      <alignment horizontal="center"/>
    </xf>
    <xf numFmtId="0" fontId="21" fillId="0" borderId="0" xfId="1" applyFont="1" applyAlignment="1">
      <alignment vertical="center"/>
    </xf>
    <xf numFmtId="0" fontId="21" fillId="0" borderId="0" xfId="1" applyFont="1" applyAlignment="1">
      <alignment horizontal="center"/>
    </xf>
    <xf numFmtId="0" fontId="41" fillId="0" borderId="0" xfId="1" applyFont="1" applyAlignment="1">
      <alignment horizontal="center"/>
    </xf>
    <xf numFmtId="0" fontId="21" fillId="0" borderId="51" xfId="1" applyFont="1" applyBorder="1"/>
    <xf numFmtId="0" fontId="4" fillId="0" borderId="0" xfId="1" applyAlignment="1">
      <alignment horizontal="left"/>
    </xf>
    <xf numFmtId="0" fontId="42" fillId="0" borderId="0" xfId="1" applyFont="1" applyAlignment="1">
      <alignment vertical="center"/>
    </xf>
    <xf numFmtId="0" fontId="21" fillId="0" borderId="50" xfId="1" applyFont="1" applyBorder="1"/>
    <xf numFmtId="0" fontId="21" fillId="0" borderId="50" xfId="1" applyFont="1" applyBorder="1" applyAlignment="1">
      <alignment horizontal="right"/>
    </xf>
    <xf numFmtId="0" fontId="43" fillId="0" borderId="0" xfId="1" applyFont="1" applyAlignment="1">
      <alignment vertical="center"/>
    </xf>
    <xf numFmtId="0" fontId="43" fillId="0" borderId="0" xfId="1" applyFont="1" applyAlignment="1">
      <alignment wrapText="1"/>
    </xf>
    <xf numFmtId="15" fontId="43" fillId="0" borderId="0" xfId="1" applyNumberFormat="1" applyFont="1"/>
    <xf numFmtId="0" fontId="43" fillId="0" borderId="0" xfId="1" applyFont="1"/>
    <xf numFmtId="0" fontId="42" fillId="0" borderId="0" xfId="1" applyFont="1"/>
    <xf numFmtId="0" fontId="44" fillId="0" borderId="0" xfId="1" applyFont="1" applyAlignment="1">
      <alignment horizontal="center"/>
    </xf>
    <xf numFmtId="164" fontId="21" fillId="0" borderId="0" xfId="1" applyNumberFormat="1" applyFont="1"/>
    <xf numFmtId="0" fontId="42" fillId="0" borderId="0" xfId="1" applyFont="1" applyAlignment="1">
      <alignment horizontal="center" vertical="center"/>
    </xf>
    <xf numFmtId="164" fontId="45" fillId="0" borderId="0" xfId="1" applyNumberFormat="1" applyFont="1"/>
    <xf numFmtId="0" fontId="44" fillId="0" borderId="0" xfId="1" applyFont="1"/>
    <xf numFmtId="0" fontId="12" fillId="0" borderId="0" xfId="1" applyFont="1"/>
    <xf numFmtId="2" fontId="21" fillId="0" borderId="0" xfId="1" applyNumberFormat="1" applyFont="1"/>
    <xf numFmtId="15" fontId="21" fillId="0" borderId="59" xfId="1" applyNumberFormat="1" applyFont="1" applyBorder="1" applyAlignment="1">
      <alignment horizontal="center"/>
    </xf>
    <xf numFmtId="0" fontId="21" fillId="0" borderId="59" xfId="1" applyFont="1" applyBorder="1"/>
    <xf numFmtId="0" fontId="21" fillId="0" borderId="59" xfId="1" applyFont="1" applyBorder="1" applyAlignment="1">
      <alignment vertical="center"/>
    </xf>
    <xf numFmtId="2" fontId="21" fillId="0" borderId="59" xfId="1" applyNumberFormat="1" applyFont="1" applyBorder="1"/>
    <xf numFmtId="0" fontId="21" fillId="0" borderId="60" xfId="1" applyFont="1" applyBorder="1"/>
    <xf numFmtId="0" fontId="4" fillId="0" borderId="47" xfId="1" applyBorder="1" applyAlignment="1">
      <alignment vertical="center"/>
    </xf>
    <xf numFmtId="0" fontId="4" fillId="0" borderId="48" xfId="1" applyBorder="1" applyAlignment="1">
      <alignment vertical="center"/>
    </xf>
    <xf numFmtId="0" fontId="4" fillId="0" borderId="49" xfId="1" applyBorder="1" applyAlignment="1">
      <alignment vertical="center"/>
    </xf>
    <xf numFmtId="0" fontId="4" fillId="0" borderId="50" xfId="1" applyBorder="1" applyAlignment="1">
      <alignment vertical="center"/>
    </xf>
    <xf numFmtId="0" fontId="4" fillId="0" borderId="1" xfId="1" applyBorder="1" applyAlignment="1">
      <alignment vertical="center"/>
    </xf>
    <xf numFmtId="0" fontId="4" fillId="0" borderId="3" xfId="1" applyBorder="1" applyAlignment="1">
      <alignment vertical="center"/>
    </xf>
    <xf numFmtId="0" fontId="4" fillId="0" borderId="12" xfId="1" applyBorder="1" applyAlignment="1">
      <alignment vertical="center"/>
    </xf>
    <xf numFmtId="0" fontId="4" fillId="0" borderId="51" xfId="1" applyBorder="1" applyAlignment="1">
      <alignment vertical="center"/>
    </xf>
    <xf numFmtId="0" fontId="4" fillId="0" borderId="6" xfId="1" applyBorder="1" applyAlignment="1">
      <alignment vertical="center"/>
    </xf>
    <xf numFmtId="0" fontId="4" fillId="0" borderId="7" xfId="1" applyBorder="1" applyAlignment="1">
      <alignment vertical="center"/>
    </xf>
    <xf numFmtId="0" fontId="44" fillId="0" borderId="0" xfId="1" applyFont="1" applyAlignment="1">
      <alignment vertical="center"/>
    </xf>
    <xf numFmtId="0" fontId="7" fillId="0" borderId="74" xfId="1" applyFont="1" applyBorder="1" applyAlignment="1">
      <alignment vertical="center"/>
    </xf>
    <xf numFmtId="0" fontId="48" fillId="0" borderId="0" xfId="1" applyFont="1" applyAlignment="1">
      <alignment horizontal="center" vertical="center"/>
    </xf>
    <xf numFmtId="0" fontId="4" fillId="0" borderId="74" xfId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4" fillId="0" borderId="52" xfId="1" applyBorder="1" applyAlignment="1">
      <alignment vertical="center" wrapText="1"/>
    </xf>
    <xf numFmtId="0" fontId="7" fillId="0" borderId="52" xfId="1" applyFont="1" applyBorder="1" applyAlignment="1">
      <alignment vertical="center" wrapText="1"/>
    </xf>
    <xf numFmtId="0" fontId="44" fillId="0" borderId="0" xfId="1" applyFont="1" applyAlignment="1">
      <alignment horizontal="left" vertical="center"/>
    </xf>
    <xf numFmtId="0" fontId="21" fillId="0" borderId="7" xfId="1" applyFont="1" applyBorder="1" applyAlignment="1">
      <alignment vertical="center"/>
    </xf>
    <xf numFmtId="0" fontId="4" fillId="0" borderId="13" xfId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4" fillId="0" borderId="8" xfId="1" applyBorder="1" applyAlignment="1">
      <alignment vertical="center"/>
    </xf>
    <xf numFmtId="0" fontId="7" fillId="0" borderId="13" xfId="1" applyFont="1" applyBorder="1" applyAlignment="1">
      <alignment vertical="center" wrapText="1"/>
    </xf>
    <xf numFmtId="0" fontId="4" fillId="0" borderId="13" xfId="1" applyBorder="1" applyAlignment="1">
      <alignment vertical="center" wrapText="1"/>
    </xf>
    <xf numFmtId="0" fontId="21" fillId="0" borderId="9" xfId="1" applyFont="1" applyBorder="1" applyAlignment="1">
      <alignment vertical="center"/>
    </xf>
    <xf numFmtId="0" fontId="21" fillId="0" borderId="2" xfId="1" applyFont="1" applyBorder="1" applyAlignment="1">
      <alignment vertical="center"/>
    </xf>
    <xf numFmtId="2" fontId="48" fillId="0" borderId="0" xfId="1" applyNumberFormat="1" applyFont="1" applyAlignment="1">
      <alignment vertical="center"/>
    </xf>
    <xf numFmtId="0" fontId="48" fillId="0" borderId="0" xfId="1" applyFont="1" applyAlignment="1">
      <alignment vertical="center"/>
    </xf>
    <xf numFmtId="0" fontId="4" fillId="0" borderId="58" xfId="1" applyBorder="1" applyAlignment="1">
      <alignment vertical="center"/>
    </xf>
    <xf numFmtId="0" fontId="4" fillId="0" borderId="59" xfId="1" applyBorder="1" applyAlignment="1">
      <alignment vertical="center"/>
    </xf>
    <xf numFmtId="0" fontId="4" fillId="0" borderId="60" xfId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4" fillId="0" borderId="15" xfId="1" applyBorder="1"/>
    <xf numFmtId="0" fontId="5" fillId="0" borderId="25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10" fillId="0" borderId="27" xfId="1" applyFont="1" applyBorder="1" applyAlignment="1">
      <alignment vertical="center"/>
    </xf>
    <xf numFmtId="0" fontId="5" fillId="0" borderId="28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10" fillId="0" borderId="29" xfId="1" quotePrefix="1" applyFont="1" applyBorder="1" applyAlignment="1">
      <alignment vertical="center"/>
    </xf>
    <xf numFmtId="0" fontId="10" fillId="0" borderId="30" xfId="1" applyFont="1" applyBorder="1" applyAlignment="1">
      <alignment vertical="center"/>
    </xf>
    <xf numFmtId="0" fontId="12" fillId="0" borderId="28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3" fillId="0" borderId="31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13" fillId="0" borderId="32" xfId="1" applyFont="1" applyBorder="1" applyAlignment="1">
      <alignment vertical="center"/>
    </xf>
    <xf numFmtId="0" fontId="5" fillId="0" borderId="33" xfId="1" applyFont="1" applyBorder="1" applyAlignment="1">
      <alignment vertical="center"/>
    </xf>
    <xf numFmtId="0" fontId="5" fillId="0" borderId="34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13" fillId="0" borderId="18" xfId="1" applyFont="1" applyBorder="1" applyAlignment="1">
      <alignment vertical="center"/>
    </xf>
    <xf numFmtId="0" fontId="13" fillId="0" borderId="19" xfId="1" applyFont="1" applyBorder="1" applyAlignment="1">
      <alignment vertical="center"/>
    </xf>
    <xf numFmtId="0" fontId="12" fillId="0" borderId="18" xfId="1" applyFont="1" applyBorder="1" applyAlignment="1">
      <alignment horizontal="center" vertical="center"/>
    </xf>
    <xf numFmtId="0" fontId="13" fillId="0" borderId="20" xfId="1" applyFont="1" applyBorder="1" applyAlignment="1">
      <alignment vertical="center"/>
    </xf>
    <xf numFmtId="0" fontId="13" fillId="0" borderId="21" xfId="1" applyFont="1" applyBorder="1" applyAlignment="1">
      <alignment vertical="center"/>
    </xf>
    <xf numFmtId="0" fontId="13" fillId="0" borderId="22" xfId="1" applyFont="1" applyBorder="1" applyAlignment="1">
      <alignment vertical="center"/>
    </xf>
    <xf numFmtId="0" fontId="5" fillId="0" borderId="35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0" fontId="5" fillId="0" borderId="37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4" fillId="0" borderId="38" xfId="1" applyBorder="1" applyAlignment="1">
      <alignment horizontal="center" vertical="center"/>
    </xf>
    <xf numFmtId="0" fontId="4" fillId="0" borderId="36" xfId="1" applyBorder="1"/>
    <xf numFmtId="0" fontId="13" fillId="0" borderId="40" xfId="1" applyFont="1" applyBorder="1" applyAlignment="1">
      <alignment horizontal="left" vertical="center"/>
    </xf>
    <xf numFmtId="0" fontId="10" fillId="0" borderId="19" xfId="1" applyFont="1" applyBorder="1" applyAlignment="1">
      <alignment horizontal="left" vertical="top" wrapText="1"/>
    </xf>
    <xf numFmtId="0" fontId="10" fillId="0" borderId="18" xfId="1" applyFont="1" applyBorder="1" applyAlignment="1">
      <alignment horizontal="left" vertical="top" wrapText="1"/>
    </xf>
    <xf numFmtId="0" fontId="14" fillId="0" borderId="18" xfId="1" applyFont="1" applyBorder="1" applyAlignment="1">
      <alignment vertical="center"/>
    </xf>
    <xf numFmtId="0" fontId="19" fillId="0" borderId="19" xfId="1" applyFont="1" applyBorder="1" applyAlignment="1">
      <alignment vertical="center"/>
    </xf>
    <xf numFmtId="0" fontId="19" fillId="0" borderId="18" xfId="1" applyFont="1" applyBorder="1" applyAlignment="1">
      <alignment vertical="center"/>
    </xf>
    <xf numFmtId="0" fontId="19" fillId="0" borderId="20" xfId="1" applyFont="1" applyBorder="1" applyAlignment="1">
      <alignment vertical="center"/>
    </xf>
    <xf numFmtId="0" fontId="19" fillId="0" borderId="21" xfId="1" applyFont="1" applyBorder="1" applyAlignment="1">
      <alignment vertical="center"/>
    </xf>
    <xf numFmtId="0" fontId="19" fillId="0" borderId="22" xfId="1" applyFont="1" applyBorder="1" applyAlignment="1">
      <alignment vertical="center"/>
    </xf>
    <xf numFmtId="0" fontId="4" fillId="0" borderId="15" xfId="1" applyBorder="1" applyAlignment="1">
      <alignment vertical="center"/>
    </xf>
    <xf numFmtId="0" fontId="4" fillId="0" borderId="16" xfId="1" applyBorder="1"/>
    <xf numFmtId="0" fontId="4" fillId="0" borderId="18" xfId="1" applyBorder="1" applyAlignment="1">
      <alignment vertical="top" wrapText="1"/>
    </xf>
    <xf numFmtId="0" fontId="4" fillId="0" borderId="4" xfId="1" applyBorder="1" applyAlignment="1">
      <alignment vertical="top" wrapText="1"/>
    </xf>
    <xf numFmtId="0" fontId="4" fillId="0" borderId="19" xfId="1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4" fillId="0" borderId="2" xfId="1" applyBorder="1" applyAlignment="1">
      <alignment vertical="top" wrapText="1"/>
    </xf>
    <xf numFmtId="0" fontId="4" fillId="0" borderId="3" xfId="1" applyBorder="1" applyAlignment="1">
      <alignment vertical="top" wrapText="1"/>
    </xf>
    <xf numFmtId="0" fontId="4" fillId="0" borderId="6" xfId="1" applyBorder="1" applyAlignment="1">
      <alignment vertical="top" wrapText="1"/>
    </xf>
    <xf numFmtId="0" fontId="4" fillId="0" borderId="7" xfId="1" applyBorder="1" applyAlignment="1">
      <alignment vertical="top" wrapText="1"/>
    </xf>
    <xf numFmtId="0" fontId="4" fillId="0" borderId="8" xfId="1" applyBorder="1" applyAlignment="1">
      <alignment vertical="top" wrapText="1"/>
    </xf>
    <xf numFmtId="0" fontId="4" fillId="0" borderId="9" xfId="1" applyBorder="1" applyAlignment="1">
      <alignment vertical="top" wrapText="1"/>
    </xf>
    <xf numFmtId="0" fontId="4" fillId="0" borderId="10" xfId="1" applyBorder="1" applyAlignment="1">
      <alignment vertical="top" wrapText="1"/>
    </xf>
    <xf numFmtId="0" fontId="4" fillId="0" borderId="21" xfId="1" applyBorder="1" applyAlignment="1">
      <alignment vertical="top" wrapText="1"/>
    </xf>
    <xf numFmtId="0" fontId="4" fillId="0" borderId="20" xfId="1" applyBorder="1" applyAlignment="1">
      <alignment vertical="top" wrapText="1"/>
    </xf>
    <xf numFmtId="0" fontId="4" fillId="0" borderId="22" xfId="1" applyBorder="1" applyAlignment="1">
      <alignment vertical="top" wrapText="1"/>
    </xf>
    <xf numFmtId="0" fontId="21" fillId="0" borderId="18" xfId="1" applyFont="1" applyBorder="1"/>
    <xf numFmtId="0" fontId="21" fillId="0" borderId="19" xfId="1" applyFont="1" applyBorder="1"/>
    <xf numFmtId="0" fontId="21" fillId="0" borderId="77" xfId="1" applyFont="1" applyBorder="1" applyAlignment="1">
      <alignment horizontal="center" vertical="center" wrapText="1"/>
    </xf>
    <xf numFmtId="0" fontId="21" fillId="0" borderId="78" xfId="1" applyFont="1" applyBorder="1"/>
    <xf numFmtId="0" fontId="21" fillId="0" borderId="78" xfId="1" applyFont="1" applyBorder="1" applyAlignment="1">
      <alignment vertical="center" wrapText="1"/>
    </xf>
    <xf numFmtId="0" fontId="4" fillId="0" borderId="78" xfId="1" applyBorder="1"/>
    <xf numFmtId="0" fontId="21" fillId="0" borderId="76" xfId="1" applyFont="1" applyBorder="1"/>
    <xf numFmtId="0" fontId="4" fillId="0" borderId="76" xfId="1" applyBorder="1"/>
    <xf numFmtId="0" fontId="21" fillId="0" borderId="20" xfId="1" applyFont="1" applyBorder="1"/>
    <xf numFmtId="0" fontId="21" fillId="0" borderId="21" xfId="1" applyFont="1" applyBorder="1"/>
    <xf numFmtId="0" fontId="21" fillId="0" borderId="79" xfId="1" applyFont="1" applyBorder="1"/>
    <xf numFmtId="0" fontId="21" fillId="0" borderId="79" xfId="1" applyFont="1" applyBorder="1" applyAlignment="1">
      <alignment horizontal="center"/>
    </xf>
    <xf numFmtId="0" fontId="50" fillId="0" borderId="0" xfId="1" applyFont="1" applyAlignment="1">
      <alignment vertical="center"/>
    </xf>
    <xf numFmtId="0" fontId="50" fillId="0" borderId="0" xfId="1" applyFont="1" applyAlignment="1">
      <alignment vertical="center" wrapText="1"/>
    </xf>
    <xf numFmtId="0" fontId="54" fillId="0" borderId="10" xfId="1" applyFont="1" applyBorder="1" applyAlignment="1">
      <alignment horizontal="center" vertical="center" wrapText="1"/>
    </xf>
    <xf numFmtId="0" fontId="54" fillId="0" borderId="62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0" fontId="8" fillId="0" borderId="68" xfId="1" applyFont="1" applyBorder="1" applyAlignment="1">
      <alignment horizontal="center" vertical="center" wrapText="1"/>
    </xf>
    <xf numFmtId="49" fontId="59" fillId="0" borderId="4" xfId="1" applyNumberFormat="1" applyFont="1" applyBorder="1" applyAlignment="1" applyProtection="1">
      <alignment vertical="center"/>
      <protection locked="0"/>
    </xf>
    <xf numFmtId="49" fontId="59" fillId="0" borderId="4" xfId="1" applyNumberFormat="1" applyFont="1" applyBorder="1" applyAlignment="1" applyProtection="1">
      <alignment horizontal="left" vertical="top"/>
      <protection locked="0"/>
    </xf>
    <xf numFmtId="49" fontId="59" fillId="0" borderId="54" xfId="1" applyNumberFormat="1" applyFont="1" applyBorder="1" applyAlignment="1" applyProtection="1">
      <alignment vertical="center"/>
      <protection locked="0"/>
    </xf>
    <xf numFmtId="0" fontId="5" fillId="0" borderId="52" xfId="1" applyFont="1" applyBorder="1" applyAlignment="1">
      <alignment horizontal="center" vertical="center" wrapText="1"/>
    </xf>
    <xf numFmtId="0" fontId="5" fillId="9" borderId="88" xfId="1" applyFont="1" applyFill="1" applyBorder="1" applyAlignment="1">
      <alignment horizontal="center" vertical="center" wrapText="1"/>
    </xf>
    <xf numFmtId="0" fontId="5" fillId="11" borderId="46" xfId="1" applyFont="1" applyFill="1" applyBorder="1" applyAlignment="1">
      <alignment horizontal="center" vertical="center" wrapText="1"/>
    </xf>
    <xf numFmtId="0" fontId="61" fillId="9" borderId="89" xfId="1" applyFont="1" applyFill="1" applyBorder="1" applyAlignment="1">
      <alignment horizontal="center" vertical="center" wrapText="1"/>
    </xf>
    <xf numFmtId="0" fontId="61" fillId="11" borderId="14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vertical="center" wrapText="1"/>
    </xf>
    <xf numFmtId="0" fontId="7" fillId="0" borderId="8" xfId="1" applyFont="1" applyBorder="1" applyAlignment="1" applyProtection="1">
      <alignment vertical="center" wrapText="1"/>
      <protection locked="0"/>
    </xf>
    <xf numFmtId="0" fontId="4" fillId="0" borderId="4" xfId="1" applyBorder="1" applyAlignment="1">
      <alignment vertical="center" wrapText="1"/>
    </xf>
    <xf numFmtId="0" fontId="63" fillId="0" borderId="4" xfId="1" applyFont="1" applyBorder="1" applyAlignment="1" applyProtection="1">
      <alignment vertical="center" wrapText="1"/>
      <protection locked="0"/>
    </xf>
    <xf numFmtId="0" fontId="64" fillId="0" borderId="90" xfId="1" applyFont="1" applyBorder="1" applyAlignment="1" applyProtection="1">
      <alignment vertical="top" wrapText="1"/>
      <protection locked="0"/>
    </xf>
    <xf numFmtId="165" fontId="63" fillId="0" borderId="4" xfId="1" applyNumberFormat="1" applyFont="1" applyBorder="1" applyAlignment="1" applyProtection="1">
      <alignment vertical="center" wrapText="1"/>
      <protection locked="0"/>
    </xf>
    <xf numFmtId="0" fontId="65" fillId="0" borderId="50" xfId="1" applyFont="1" applyBorder="1" applyAlignment="1" applyProtection="1">
      <alignment vertical="center" wrapText="1"/>
      <protection locked="0"/>
    </xf>
    <xf numFmtId="0" fontId="7" fillId="0" borderId="4" xfId="1" applyFont="1" applyBorder="1" applyAlignment="1">
      <alignment vertical="center" wrapText="1"/>
    </xf>
    <xf numFmtId="0" fontId="65" fillId="0" borderId="4" xfId="1" applyFont="1" applyBorder="1" applyAlignment="1" applyProtection="1">
      <alignment vertical="center" wrapText="1"/>
      <protection locked="0"/>
    </xf>
    <xf numFmtId="0" fontId="64" fillId="0" borderId="90" xfId="1" applyFont="1" applyBorder="1" applyAlignment="1" applyProtection="1">
      <alignment vertical="center"/>
      <protection locked="0"/>
    </xf>
    <xf numFmtId="0" fontId="63" fillId="0" borderId="7" xfId="1" applyFont="1" applyBorder="1" applyAlignment="1" applyProtection="1">
      <alignment vertical="center" wrapText="1"/>
      <protection locked="0"/>
    </xf>
    <xf numFmtId="0" fontId="63" fillId="0" borderId="50" xfId="1" applyFont="1" applyBorder="1" applyAlignment="1" applyProtection="1">
      <alignment vertical="center" wrapText="1"/>
      <protection locked="0"/>
    </xf>
    <xf numFmtId="0" fontId="63" fillId="0" borderId="6" xfId="1" applyFont="1" applyBorder="1" applyAlignment="1" applyProtection="1">
      <alignment vertical="center" wrapText="1"/>
      <protection locked="0"/>
    </xf>
    <xf numFmtId="165" fontId="65" fillId="0" borderId="4" xfId="1" applyNumberFormat="1" applyFont="1" applyBorder="1" applyAlignment="1" applyProtection="1">
      <alignment vertical="center" wrapText="1"/>
      <protection locked="0"/>
    </xf>
    <xf numFmtId="0" fontId="64" fillId="0" borderId="90" xfId="1" applyFont="1" applyBorder="1" applyAlignment="1" applyProtection="1">
      <alignment vertical="center" wrapText="1"/>
      <protection locked="0"/>
    </xf>
    <xf numFmtId="0" fontId="65" fillId="0" borderId="4" xfId="1" applyFont="1" applyBorder="1" applyAlignment="1">
      <alignment vertical="center" wrapText="1"/>
    </xf>
    <xf numFmtId="0" fontId="63" fillId="0" borderId="4" xfId="1" applyFont="1" applyBorder="1" applyAlignment="1">
      <alignment vertical="center" wrapText="1"/>
    </xf>
    <xf numFmtId="0" fontId="67" fillId="0" borderId="90" xfId="1" applyFont="1" applyBorder="1" applyAlignment="1" applyProtection="1">
      <alignment vertical="center"/>
      <protection locked="0"/>
    </xf>
    <xf numFmtId="165" fontId="63" fillId="0" borderId="4" xfId="1" applyNumberFormat="1" applyFont="1" applyBorder="1" applyAlignment="1">
      <alignment vertical="center" wrapText="1"/>
    </xf>
    <xf numFmtId="165" fontId="65" fillId="0" borderId="4" xfId="1" applyNumberFormat="1" applyFont="1" applyBorder="1" applyAlignment="1">
      <alignment vertical="center" wrapText="1"/>
    </xf>
    <xf numFmtId="0" fontId="7" fillId="0" borderId="91" xfId="1" applyFont="1" applyBorder="1" applyAlignment="1">
      <alignment vertical="center" wrapText="1"/>
    </xf>
    <xf numFmtId="9" fontId="63" fillId="0" borderId="91" xfId="1" applyNumberFormat="1" applyFont="1" applyBorder="1" applyAlignment="1">
      <alignment vertical="center" wrapText="1"/>
    </xf>
    <xf numFmtId="0" fontId="63" fillId="0" borderId="58" xfId="1" applyFont="1" applyBorder="1" applyAlignment="1" applyProtection="1">
      <alignment vertical="center" wrapText="1"/>
      <protection locked="0"/>
    </xf>
    <xf numFmtId="0" fontId="63" fillId="0" borderId="92" xfId="1" applyFont="1" applyBorder="1" applyAlignment="1" applyProtection="1">
      <alignment vertical="center" wrapText="1"/>
      <protection locked="0"/>
    </xf>
    <xf numFmtId="0" fontId="63" fillId="0" borderId="93" xfId="1" applyFont="1" applyBorder="1" applyAlignment="1" applyProtection="1">
      <alignment vertical="center" wrapText="1"/>
      <protection locked="0"/>
    </xf>
    <xf numFmtId="0" fontId="63" fillId="0" borderId="91" xfId="1" applyFont="1" applyBorder="1" applyAlignment="1">
      <alignment vertical="center" wrapText="1"/>
    </xf>
    <xf numFmtId="0" fontId="50" fillId="0" borderId="94" xfId="1" applyFont="1" applyBorder="1" applyAlignment="1" applyProtection="1">
      <alignment vertical="center"/>
      <protection locked="0"/>
    </xf>
    <xf numFmtId="0" fontId="63" fillId="0" borderId="0" xfId="1" applyFont="1" applyAlignment="1" applyProtection="1">
      <alignment vertical="center" wrapText="1"/>
      <protection locked="0"/>
    </xf>
    <xf numFmtId="0" fontId="7" fillId="0" borderId="0" xfId="1" applyFont="1" applyAlignment="1">
      <alignment vertical="center" wrapText="1"/>
    </xf>
    <xf numFmtId="0" fontId="63" fillId="0" borderId="0" xfId="1" applyFont="1" applyAlignment="1">
      <alignment vertical="center" wrapText="1"/>
    </xf>
    <xf numFmtId="0" fontId="50" fillId="0" borderId="0" xfId="1" applyFont="1" applyAlignment="1" applyProtection="1">
      <alignment vertical="center"/>
      <protection locked="0"/>
    </xf>
    <xf numFmtId="0" fontId="24" fillId="2" borderId="13" xfId="0" applyFont="1" applyFill="1" applyBorder="1" applyAlignment="1">
      <alignment horizontal="center" vertical="center"/>
    </xf>
    <xf numFmtId="0" fontId="27" fillId="0" borderId="1" xfId="1" applyFont="1" applyBorder="1" applyAlignment="1">
      <alignment vertical="center"/>
    </xf>
    <xf numFmtId="0" fontId="26" fillId="0" borderId="2" xfId="1" applyFont="1" applyBorder="1" applyAlignment="1">
      <alignment vertical="center"/>
    </xf>
    <xf numFmtId="0" fontId="27" fillId="0" borderId="2" xfId="1" applyFont="1" applyBorder="1" applyAlignment="1">
      <alignment vertical="center"/>
    </xf>
    <xf numFmtId="0" fontId="27" fillId="0" borderId="3" xfId="1" applyFont="1" applyBorder="1" applyAlignment="1">
      <alignment vertical="center"/>
    </xf>
    <xf numFmtId="0" fontId="27" fillId="0" borderId="6" xfId="1" applyFont="1" applyBorder="1" applyAlignment="1">
      <alignment vertical="center"/>
    </xf>
    <xf numFmtId="0" fontId="27" fillId="0" borderId="7" xfId="1" applyFont="1" applyBorder="1" applyAlignment="1">
      <alignment vertical="center"/>
    </xf>
    <xf numFmtId="0" fontId="7" fillId="3" borderId="0" xfId="1" applyFont="1" applyFill="1" applyAlignment="1">
      <alignment vertical="center"/>
    </xf>
    <xf numFmtId="0" fontId="4" fillId="3" borderId="0" xfId="1" applyFill="1" applyAlignment="1">
      <alignment horizontal="left" vertical="center"/>
    </xf>
    <xf numFmtId="16" fontId="4" fillId="3" borderId="0" xfId="1" quotePrefix="1" applyNumberFormat="1" applyFill="1" applyAlignment="1">
      <alignment horizontal="left" vertical="center"/>
    </xf>
    <xf numFmtId="0" fontId="4" fillId="3" borderId="0" xfId="1" applyFill="1" applyAlignment="1">
      <alignment horizontal="left" vertical="center" indent="7"/>
    </xf>
    <xf numFmtId="16" fontId="4" fillId="3" borderId="0" xfId="1" applyNumberFormat="1" applyFill="1" applyAlignment="1">
      <alignment horizontal="left" vertical="center"/>
    </xf>
    <xf numFmtId="0" fontId="30" fillId="3" borderId="0" xfId="1" applyFont="1" applyFill="1" applyAlignment="1">
      <alignment horizontal="left" vertical="center"/>
    </xf>
    <xf numFmtId="0" fontId="4" fillId="3" borderId="0" xfId="1" applyFill="1" applyAlignment="1">
      <alignment horizontal="left" vertical="center" indent="1"/>
    </xf>
    <xf numFmtId="0" fontId="8" fillId="3" borderId="0" xfId="1" applyFont="1" applyFill="1" applyAlignment="1">
      <alignment horizontal="center" vertical="center"/>
    </xf>
    <xf numFmtId="0" fontId="8" fillId="3" borderId="0" xfId="1" applyFont="1" applyFill="1" applyAlignment="1">
      <alignment vertical="center"/>
    </xf>
    <xf numFmtId="0" fontId="3" fillId="2" borderId="0" xfId="0" applyFont="1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23" fillId="0" borderId="0" xfId="0" applyFont="1" applyAlignment="1">
      <alignment horizontal="center"/>
    </xf>
    <xf numFmtId="0" fontId="0" fillId="0" borderId="7" xfId="0" applyBorder="1"/>
    <xf numFmtId="0" fontId="0" fillId="0" borderId="6" xfId="0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7" xfId="0" applyBorder="1" applyAlignment="1">
      <alignment vertical="center"/>
    </xf>
    <xf numFmtId="0" fontId="0" fillId="2" borderId="0" xfId="0" quotePrefix="1" applyFill="1" applyAlignment="1">
      <alignment vertical="center"/>
    </xf>
    <xf numFmtId="0" fontId="1" fillId="2" borderId="0" xfId="0" quotePrefix="1" applyFont="1" applyFill="1" applyAlignment="1">
      <alignment horizontal="right" vertical="center"/>
    </xf>
    <xf numFmtId="0" fontId="0" fillId="2" borderId="0" xfId="0" quotePrefix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5" fillId="2" borderId="0" xfId="0" applyFont="1" applyFill="1" applyAlignment="1">
      <alignment vertical="center"/>
    </xf>
    <xf numFmtId="0" fontId="4" fillId="0" borderId="24" xfId="1" applyBorder="1"/>
    <xf numFmtId="0" fontId="10" fillId="0" borderId="0" xfId="1" applyFont="1" applyAlignment="1">
      <alignment vertical="center"/>
    </xf>
    <xf numFmtId="0" fontId="12" fillId="0" borderId="1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2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2" fillId="0" borderId="7" xfId="1" applyFont="1" applyBorder="1" applyAlignment="1">
      <alignment horizontal="center" vertical="center"/>
    </xf>
    <xf numFmtId="0" fontId="13" fillId="0" borderId="95" xfId="1" applyFont="1" applyBorder="1" applyAlignment="1">
      <alignment vertical="center"/>
    </xf>
    <xf numFmtId="0" fontId="4" fillId="0" borderId="96" xfId="1" applyBorder="1"/>
    <xf numFmtId="0" fontId="15" fillId="0" borderId="97" xfId="1" applyFont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4" fillId="0" borderId="7" xfId="1" applyBorder="1"/>
    <xf numFmtId="0" fontId="10" fillId="0" borderId="0" xfId="1" applyFont="1" applyAlignment="1">
      <alignment horizontal="right" vertical="center" wrapText="1"/>
    </xf>
    <xf numFmtId="0" fontId="10" fillId="0" borderId="7" xfId="1" applyFont="1" applyBorder="1" applyAlignment="1">
      <alignment horizontal="left" vertical="top" wrapText="1"/>
    </xf>
    <xf numFmtId="0" fontId="19" fillId="0" borderId="7" xfId="1" applyFont="1" applyBorder="1" applyAlignment="1">
      <alignment vertical="center"/>
    </xf>
    <xf numFmtId="0" fontId="4" fillId="0" borderId="27" xfId="1" applyBorder="1"/>
    <xf numFmtId="0" fontId="36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center" vertical="center" wrapText="1"/>
    </xf>
    <xf numFmtId="0" fontId="23" fillId="2" borderId="6" xfId="0" applyFont="1" applyFill="1" applyBorder="1"/>
    <xf numFmtId="0" fontId="23" fillId="2" borderId="0" xfId="0" applyFont="1" applyFill="1"/>
    <xf numFmtId="0" fontId="1" fillId="0" borderId="6" xfId="0" applyFont="1" applyBorder="1"/>
    <xf numFmtId="0" fontId="1" fillId="0" borderId="0" xfId="0" applyFont="1"/>
    <xf numFmtId="0" fontId="0" fillId="0" borderId="0" xfId="0" quotePrefix="1"/>
    <xf numFmtId="0" fontId="0" fillId="2" borderId="105" xfId="0" applyFill="1" applyBorder="1"/>
    <xf numFmtId="0" fontId="0" fillId="2" borderId="93" xfId="0" applyFill="1" applyBorder="1"/>
    <xf numFmtId="0" fontId="4" fillId="0" borderId="1" xfId="1" applyBorder="1"/>
    <xf numFmtId="0" fontId="4" fillId="0" borderId="2" xfId="1" applyBorder="1"/>
    <xf numFmtId="0" fontId="4" fillId="0" borderId="105" xfId="1" applyBorder="1"/>
    <xf numFmtId="0" fontId="4" fillId="0" borderId="6" xfId="1" applyBorder="1"/>
    <xf numFmtId="0" fontId="4" fillId="0" borderId="93" xfId="1" applyBorder="1"/>
    <xf numFmtId="0" fontId="21" fillId="0" borderId="92" xfId="1" applyFont="1" applyBorder="1" applyAlignment="1">
      <alignment horizontal="center"/>
    </xf>
    <xf numFmtId="0" fontId="4" fillId="0" borderId="106" xfId="1" applyBorder="1" applyAlignment="1">
      <alignment vertical="center"/>
    </xf>
    <xf numFmtId="0" fontId="4" fillId="0" borderId="81" xfId="1" applyBorder="1" applyAlignment="1">
      <alignment vertical="center"/>
    </xf>
    <xf numFmtId="0" fontId="4" fillId="0" borderId="93" xfId="1" applyBorder="1" applyAlignment="1">
      <alignment vertical="center"/>
    </xf>
    <xf numFmtId="0" fontId="4" fillId="0" borderId="92" xfId="1" applyBorder="1" applyAlignment="1">
      <alignment vertical="center"/>
    </xf>
    <xf numFmtId="0" fontId="4" fillId="0" borderId="106" xfId="1" applyBorder="1"/>
    <xf numFmtId="0" fontId="4" fillId="0" borderId="81" xfId="1" applyBorder="1"/>
    <xf numFmtId="0" fontId="21" fillId="0" borderId="6" xfId="1" applyFont="1" applyBorder="1"/>
    <xf numFmtId="0" fontId="21" fillId="0" borderId="7" xfId="1" applyFont="1" applyBorder="1"/>
    <xf numFmtId="0" fontId="21" fillId="0" borderId="6" xfId="1" applyFont="1" applyBorder="1" applyAlignment="1">
      <alignment horizontal="center"/>
    </xf>
    <xf numFmtId="10" fontId="21" fillId="0" borderId="0" xfId="1" applyNumberFormat="1" applyFont="1"/>
    <xf numFmtId="0" fontId="42" fillId="0" borderId="7" xfId="1" applyFont="1" applyBorder="1"/>
    <xf numFmtId="0" fontId="42" fillId="0" borderId="7" xfId="1" applyFont="1" applyBorder="1" applyAlignment="1">
      <alignment horizontal="center" vertical="center"/>
    </xf>
    <xf numFmtId="0" fontId="21" fillId="0" borderId="6" xfId="1" applyFont="1" applyBorder="1" applyAlignment="1">
      <alignment horizontal="left"/>
    </xf>
    <xf numFmtId="0" fontId="21" fillId="0" borderId="7" xfId="1" applyFont="1" applyBorder="1" applyAlignment="1">
      <alignment horizontal="center"/>
    </xf>
    <xf numFmtId="15" fontId="21" fillId="0" borderId="0" xfId="1" applyNumberFormat="1" applyFont="1" applyAlignment="1">
      <alignment horizontal="center"/>
    </xf>
    <xf numFmtId="15" fontId="21" fillId="0" borderId="6" xfId="1" applyNumberFormat="1" applyFont="1" applyBorder="1" applyAlignment="1">
      <alignment horizontal="center"/>
    </xf>
    <xf numFmtId="15" fontId="21" fillId="0" borderId="93" xfId="1" applyNumberFormat="1" applyFont="1" applyBorder="1" applyAlignment="1">
      <alignment horizontal="center"/>
    </xf>
    <xf numFmtId="15" fontId="43" fillId="0" borderId="6" xfId="1" applyNumberFormat="1" applyFont="1" applyBorder="1" applyAlignment="1">
      <alignment horizontal="center"/>
    </xf>
    <xf numFmtId="15" fontId="43" fillId="0" borderId="0" xfId="1" applyNumberFormat="1" applyFont="1" applyAlignment="1">
      <alignment horizontal="center"/>
    </xf>
    <xf numFmtId="15" fontId="43" fillId="0" borderId="6" xfId="1" applyNumberFormat="1" applyFont="1" applyBorder="1" applyAlignment="1">
      <alignment horizontal="left"/>
    </xf>
    <xf numFmtId="15" fontId="43" fillId="0" borderId="0" xfId="1" applyNumberFormat="1" applyFont="1" applyAlignment="1">
      <alignment horizontal="right"/>
    </xf>
    <xf numFmtId="15" fontId="43" fillId="0" borderId="8" xfId="1" applyNumberFormat="1" applyFont="1" applyBorder="1"/>
    <xf numFmtId="15" fontId="43" fillId="0" borderId="9" xfId="1" applyNumberFormat="1" applyFont="1" applyBorder="1"/>
    <xf numFmtId="0" fontId="21" fillId="0" borderId="9" xfId="1" applyFont="1" applyBorder="1"/>
    <xf numFmtId="0" fontId="21" fillId="0" borderId="10" xfId="1" applyFont="1" applyBorder="1"/>
    <xf numFmtId="0" fontId="0" fillId="2" borderId="0" xfId="0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5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57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64" fillId="0" borderId="90" xfId="1" applyFont="1" applyBorder="1" applyAlignment="1" applyProtection="1">
      <alignment horizontal="left" vertical="center" wrapText="1"/>
      <protection locked="0"/>
    </xf>
    <xf numFmtId="0" fontId="66" fillId="8" borderId="4" xfId="1" applyFont="1" applyFill="1" applyBorder="1" applyAlignment="1">
      <alignment horizontal="center" vertical="center" wrapText="1"/>
    </xf>
    <xf numFmtId="0" fontId="66" fillId="8" borderId="11" xfId="1" applyFont="1" applyFill="1" applyBorder="1" applyAlignment="1">
      <alignment horizontal="center" vertical="center" wrapText="1"/>
    </xf>
    <xf numFmtId="0" fontId="63" fillId="0" borderId="7" xfId="1" applyFont="1" applyBorder="1" applyAlignment="1" applyProtection="1">
      <alignment horizontal="left" vertical="center" wrapText="1"/>
      <protection locked="0"/>
    </xf>
    <xf numFmtId="0" fontId="63" fillId="0" borderId="6" xfId="1" applyFont="1" applyBorder="1" applyAlignment="1" applyProtection="1">
      <alignment horizontal="left" vertical="center" wrapText="1"/>
      <protection locked="0"/>
    </xf>
    <xf numFmtId="0" fontId="63" fillId="0" borderId="8" xfId="1" applyFont="1" applyBorder="1" applyAlignment="1" applyProtection="1">
      <alignment horizontal="left" vertical="center" wrapText="1"/>
      <protection locked="0"/>
    </xf>
    <xf numFmtId="0" fontId="63" fillId="0" borderId="10" xfId="1" applyFont="1" applyBorder="1" applyAlignment="1" applyProtection="1">
      <alignment horizontal="left" vertical="center" wrapText="1"/>
      <protection locked="0"/>
    </xf>
    <xf numFmtId="0" fontId="62" fillId="0" borderId="56" xfId="1" applyFont="1" applyBorder="1" applyAlignment="1">
      <alignment horizontal="left" vertical="center" wrapText="1" readingOrder="1"/>
    </xf>
    <xf numFmtId="0" fontId="62" fillId="0" borderId="50" xfId="1" applyFont="1" applyBorder="1" applyAlignment="1">
      <alignment horizontal="left" vertical="center" wrapText="1" readingOrder="1"/>
    </xf>
    <xf numFmtId="0" fontId="63" fillId="0" borderId="1" xfId="1" applyFont="1" applyBorder="1" applyAlignment="1" applyProtection="1">
      <alignment horizontal="left" vertical="center" wrapText="1"/>
      <protection locked="0"/>
    </xf>
    <xf numFmtId="0" fontId="63" fillId="0" borderId="3" xfId="1" applyFont="1" applyBorder="1" applyAlignment="1" applyProtection="1">
      <alignment horizontal="left" vertical="center" wrapText="1"/>
      <protection locked="0"/>
    </xf>
    <xf numFmtId="0" fontId="63" fillId="0" borderId="61" xfId="1" applyFont="1" applyBorder="1" applyAlignment="1" applyProtection="1">
      <alignment horizontal="center" vertical="top" wrapText="1"/>
      <protection locked="0"/>
    </xf>
    <xf numFmtId="0" fontId="63" fillId="0" borderId="90" xfId="1" applyFont="1" applyBorder="1" applyAlignment="1" applyProtection="1">
      <alignment horizontal="center" vertical="top" wrapText="1"/>
      <protection locked="0"/>
    </xf>
    <xf numFmtId="0" fontId="64" fillId="0" borderId="90" xfId="1" applyFont="1" applyBorder="1" applyAlignment="1" applyProtection="1">
      <alignment horizontal="left" vertical="top" wrapText="1"/>
      <protection locked="0"/>
    </xf>
    <xf numFmtId="0" fontId="56" fillId="0" borderId="69" xfId="1" applyFont="1" applyBorder="1" applyAlignment="1">
      <alignment horizontal="center" vertical="center" wrapText="1"/>
    </xf>
    <xf numFmtId="0" fontId="8" fillId="0" borderId="8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87" xfId="1" applyFont="1" applyBorder="1" applyAlignment="1">
      <alignment horizontal="center" vertical="center"/>
    </xf>
    <xf numFmtId="0" fontId="57" fillId="0" borderId="88" xfId="1" applyFont="1" applyBorder="1" applyAlignment="1" applyProtection="1">
      <alignment horizontal="center" vertical="center" wrapText="1"/>
      <protection locked="0"/>
    </xf>
    <xf numFmtId="0" fontId="57" fillId="0" borderId="74" xfId="1" applyFont="1" applyBorder="1" applyAlignment="1" applyProtection="1">
      <alignment horizontal="center" vertical="center" wrapText="1"/>
      <protection locked="0"/>
    </xf>
    <xf numFmtId="0" fontId="57" fillId="0" borderId="89" xfId="1" applyFont="1" applyBorder="1" applyAlignment="1" applyProtection="1">
      <alignment horizontal="center" vertical="center" wrapText="1"/>
      <protection locked="0"/>
    </xf>
    <xf numFmtId="0" fontId="58" fillId="0" borderId="1" xfId="1" applyFont="1" applyBorder="1" applyAlignment="1" applyProtection="1">
      <alignment horizontal="center" vertical="center" wrapText="1"/>
      <protection locked="0"/>
    </xf>
    <xf numFmtId="0" fontId="58" fillId="0" borderId="2" xfId="1" applyFont="1" applyBorder="1" applyAlignment="1" applyProtection="1">
      <alignment horizontal="center" vertical="center" wrapText="1"/>
      <protection locked="0"/>
    </xf>
    <xf numFmtId="0" fontId="58" fillId="0" borderId="3" xfId="1" applyFont="1" applyBorder="1" applyAlignment="1" applyProtection="1">
      <alignment horizontal="center" vertical="center" wrapText="1"/>
      <protection locked="0"/>
    </xf>
    <xf numFmtId="0" fontId="58" fillId="0" borderId="6" xfId="1" applyFont="1" applyBorder="1" applyAlignment="1" applyProtection="1">
      <alignment horizontal="center" vertical="center" wrapText="1"/>
      <protection locked="0"/>
    </xf>
    <xf numFmtId="0" fontId="58" fillId="0" borderId="0" xfId="1" applyFont="1" applyAlignment="1" applyProtection="1">
      <alignment horizontal="center" vertical="center" wrapText="1"/>
      <protection locked="0"/>
    </xf>
    <xf numFmtId="0" fontId="58" fillId="0" borderId="7" xfId="1" applyFont="1" applyBorder="1" applyAlignment="1" applyProtection="1">
      <alignment horizontal="center" vertical="center" wrapText="1"/>
      <protection locked="0"/>
    </xf>
    <xf numFmtId="0" fontId="58" fillId="0" borderId="8" xfId="1" applyFont="1" applyBorder="1" applyAlignment="1" applyProtection="1">
      <alignment horizontal="center" vertical="center" wrapText="1"/>
      <protection locked="0"/>
    </xf>
    <xf numFmtId="0" fontId="58" fillId="0" borderId="9" xfId="1" applyFont="1" applyBorder="1" applyAlignment="1" applyProtection="1">
      <alignment horizontal="center" vertical="center" wrapText="1"/>
      <protection locked="0"/>
    </xf>
    <xf numFmtId="0" fontId="58" fillId="0" borderId="10" xfId="1" applyFont="1" applyBorder="1" applyAlignment="1" applyProtection="1">
      <alignment horizontal="center" vertical="center" wrapText="1"/>
      <protection locked="0"/>
    </xf>
    <xf numFmtId="0" fontId="5" fillId="0" borderId="88" xfId="1" applyFont="1" applyBorder="1" applyAlignment="1" applyProtection="1">
      <alignment horizontal="center" vertical="center" wrapText="1"/>
      <protection locked="0"/>
    </xf>
    <xf numFmtId="0" fontId="5" fillId="0" borderId="89" xfId="1" applyFont="1" applyBorder="1" applyAlignment="1" applyProtection="1">
      <alignment horizontal="center" vertical="center" wrapText="1"/>
      <protection locked="0"/>
    </xf>
    <xf numFmtId="0" fontId="60" fillId="8" borderId="55" xfId="1" applyFont="1" applyFill="1" applyBorder="1" applyAlignment="1">
      <alignment horizontal="center" vertical="center" wrapText="1"/>
    </xf>
    <xf numFmtId="0" fontId="60" fillId="8" borderId="11" xfId="1" applyFont="1" applyFill="1" applyBorder="1" applyAlignment="1">
      <alignment horizontal="center" vertical="center" wrapText="1"/>
    </xf>
    <xf numFmtId="0" fontId="60" fillId="8" borderId="5" xfId="1" applyFont="1" applyFill="1" applyBorder="1" applyAlignment="1">
      <alignment horizontal="center" vertical="center" wrapText="1"/>
    </xf>
    <xf numFmtId="0" fontId="60" fillId="8" borderId="13" xfId="1" applyFont="1" applyFill="1" applyBorder="1" applyAlignment="1">
      <alignment horizontal="center" vertical="center" wrapText="1"/>
    </xf>
    <xf numFmtId="0" fontId="60" fillId="8" borderId="53" xfId="1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61" fillId="10" borderId="6" xfId="1" applyFont="1" applyFill="1" applyBorder="1" applyAlignment="1">
      <alignment horizontal="center" vertical="center" wrapText="1"/>
    </xf>
    <xf numFmtId="0" fontId="61" fillId="10" borderId="7" xfId="1" applyFont="1" applyFill="1" applyBorder="1" applyAlignment="1">
      <alignment horizontal="center" vertical="center" wrapText="1"/>
    </xf>
    <xf numFmtId="0" fontId="51" fillId="0" borderId="80" xfId="1" applyFont="1" applyBorder="1" applyAlignment="1">
      <alignment horizontal="center" vertical="center"/>
    </xf>
    <xf numFmtId="0" fontId="51" fillId="0" borderId="83" xfId="1" applyFont="1" applyBorder="1" applyAlignment="1">
      <alignment horizontal="center" vertical="center"/>
    </xf>
    <xf numFmtId="0" fontId="51" fillId="0" borderId="84" xfId="1" applyFont="1" applyBorder="1" applyAlignment="1">
      <alignment horizontal="center" vertical="center"/>
    </xf>
    <xf numFmtId="0" fontId="52" fillId="0" borderId="47" xfId="1" applyFont="1" applyBorder="1" applyAlignment="1">
      <alignment horizontal="center" vertical="center" wrapText="1"/>
    </xf>
    <xf numFmtId="0" fontId="52" fillId="0" borderId="48" xfId="1" applyFont="1" applyBorder="1" applyAlignment="1">
      <alignment horizontal="center" vertical="center" wrapText="1"/>
    </xf>
    <xf numFmtId="0" fontId="52" fillId="0" borderId="49" xfId="1" applyFont="1" applyBorder="1" applyAlignment="1">
      <alignment horizontal="center" vertical="center" wrapText="1"/>
    </xf>
    <xf numFmtId="0" fontId="52" fillId="0" borderId="50" xfId="1" applyFont="1" applyBorder="1" applyAlignment="1">
      <alignment horizontal="center" vertical="center" wrapText="1"/>
    </xf>
    <xf numFmtId="0" fontId="52" fillId="0" borderId="0" xfId="1" applyFont="1" applyAlignment="1">
      <alignment horizontal="center" vertical="center" wrapText="1"/>
    </xf>
    <xf numFmtId="0" fontId="52" fillId="0" borderId="51" xfId="1" applyFont="1" applyBorder="1" applyAlignment="1">
      <alignment horizontal="center" vertical="center" wrapText="1"/>
    </xf>
    <xf numFmtId="0" fontId="51" fillId="0" borderId="81" xfId="1" applyFont="1" applyBorder="1" applyAlignment="1">
      <alignment horizontal="center" vertical="center" wrapText="1"/>
    </xf>
    <xf numFmtId="0" fontId="51" fillId="0" borderId="10" xfId="1" applyFont="1" applyBorder="1" applyAlignment="1">
      <alignment horizontal="center" vertical="center" wrapText="1"/>
    </xf>
    <xf numFmtId="0" fontId="53" fillId="0" borderId="82" xfId="1" applyFont="1" applyBorder="1" applyAlignment="1">
      <alignment horizontal="center" vertical="center" wrapText="1"/>
    </xf>
    <xf numFmtId="0" fontId="53" fillId="0" borderId="62" xfId="1" applyFont="1" applyBorder="1" applyAlignment="1">
      <alignment horizontal="center" vertical="center" wrapText="1"/>
    </xf>
    <xf numFmtId="0" fontId="55" fillId="0" borderId="58" xfId="1" applyFont="1" applyBorder="1" applyAlignment="1">
      <alignment horizontal="center" vertical="center" wrapText="1"/>
    </xf>
    <xf numFmtId="0" fontId="55" fillId="0" borderId="59" xfId="1" applyFont="1" applyBorder="1" applyAlignment="1">
      <alignment horizontal="center" vertical="center" wrapText="1"/>
    </xf>
    <xf numFmtId="0" fontId="55" fillId="0" borderId="60" xfId="1" applyFont="1" applyBorder="1" applyAlignment="1">
      <alignment horizontal="center" vertical="center" wrapText="1"/>
    </xf>
    <xf numFmtId="0" fontId="21" fillId="0" borderId="58" xfId="1" applyFont="1" applyBorder="1" applyAlignment="1">
      <alignment horizontal="center"/>
    </xf>
    <xf numFmtId="0" fontId="21" fillId="0" borderId="59" xfId="1" applyFont="1" applyBorder="1" applyAlignment="1">
      <alignment horizontal="center"/>
    </xf>
    <xf numFmtId="0" fontId="21" fillId="0" borderId="92" xfId="1" applyFont="1" applyBorder="1" applyAlignment="1">
      <alignment horizontal="center"/>
    </xf>
    <xf numFmtId="0" fontId="21" fillId="0" borderId="60" xfId="1" applyFont="1" applyBorder="1" applyAlignment="1">
      <alignment horizontal="center"/>
    </xf>
    <xf numFmtId="0" fontId="21" fillId="0" borderId="71" xfId="1" applyFont="1" applyBorder="1" applyAlignment="1">
      <alignment horizontal="center"/>
    </xf>
    <xf numFmtId="0" fontId="21" fillId="0" borderId="72" xfId="1" applyFont="1" applyBorder="1" applyAlignment="1">
      <alignment horizontal="center"/>
    </xf>
    <xf numFmtId="0" fontId="21" fillId="0" borderId="73" xfId="1" applyFont="1" applyBorder="1" applyAlignment="1">
      <alignment horizontal="center"/>
    </xf>
    <xf numFmtId="0" fontId="7" fillId="0" borderId="47" xfId="1" applyFont="1" applyBorder="1" applyAlignment="1">
      <alignment horizontal="center"/>
    </xf>
    <xf numFmtId="0" fontId="7" fillId="0" borderId="48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21" fillId="0" borderId="68" xfId="1" applyFont="1" applyBorder="1" applyAlignment="1">
      <alignment horizontal="center"/>
    </xf>
    <xf numFmtId="0" fontId="21" fillId="0" borderId="69" xfId="1" applyFont="1" applyBorder="1" applyAlignment="1">
      <alignment horizontal="center"/>
    </xf>
    <xf numFmtId="0" fontId="21" fillId="0" borderId="70" xfId="1" applyFont="1" applyBorder="1" applyAlignment="1">
      <alignment horizontal="center"/>
    </xf>
    <xf numFmtId="0" fontId="40" fillId="0" borderId="56" xfId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/>
    </xf>
    <xf numFmtId="0" fontId="40" fillId="0" borderId="3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0" fillId="0" borderId="51" xfId="1" applyFont="1" applyBorder="1" applyAlignment="1">
      <alignment horizontal="center" vertical="center"/>
    </xf>
    <xf numFmtId="0" fontId="40" fillId="0" borderId="50" xfId="1" applyFont="1" applyBorder="1" applyAlignment="1">
      <alignment horizontal="center" vertical="center"/>
    </xf>
    <xf numFmtId="0" fontId="40" fillId="0" borderId="7" xfId="1" applyFont="1" applyBorder="1" applyAlignment="1">
      <alignment horizontal="center" vertical="center"/>
    </xf>
    <xf numFmtId="0" fontId="21" fillId="0" borderId="52" xfId="1" applyFont="1" applyBorder="1" applyAlignment="1">
      <alignment horizontal="center"/>
    </xf>
    <xf numFmtId="0" fontId="21" fillId="0" borderId="13" xfId="1" applyFont="1" applyBorder="1" applyAlignment="1">
      <alignment horizontal="center"/>
    </xf>
    <xf numFmtId="0" fontId="21" fillId="0" borderId="53" xfId="1" applyFont="1" applyBorder="1" applyAlignment="1">
      <alignment horizontal="center"/>
    </xf>
    <xf numFmtId="0" fontId="4" fillId="0" borderId="6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9" fillId="7" borderId="50" xfId="1" applyFont="1" applyFill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46" fillId="7" borderId="50" xfId="1" applyFont="1" applyFill="1" applyBorder="1" applyAlignment="1">
      <alignment horizontal="center" vertical="center"/>
    </xf>
    <xf numFmtId="0" fontId="21" fillId="0" borderId="75" xfId="1" applyFont="1" applyBorder="1" applyAlignment="1">
      <alignment horizontal="center" vertical="center" wrapText="1"/>
    </xf>
    <xf numFmtId="0" fontId="21" fillId="0" borderId="76" xfId="1" applyFont="1" applyBorder="1" applyAlignment="1">
      <alignment horizontal="center" vertical="center" wrapText="1"/>
    </xf>
    <xf numFmtId="0" fontId="21" fillId="0" borderId="25" xfId="1" applyFont="1" applyBorder="1" applyAlignment="1">
      <alignment horizontal="center" vertical="center" wrapText="1"/>
    </xf>
    <xf numFmtId="0" fontId="21" fillId="0" borderId="26" xfId="1" applyFont="1" applyBorder="1" applyAlignment="1">
      <alignment horizontal="center" vertical="center" wrapText="1"/>
    </xf>
    <xf numFmtId="0" fontId="21" fillId="0" borderId="9" xfId="1" applyFont="1" applyBorder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right" vertical="top"/>
    </xf>
    <xf numFmtId="0" fontId="4" fillId="0" borderId="4" xfId="1" applyBorder="1" applyAlignment="1">
      <alignment horizontal="center" vertical="top" wrapText="1"/>
    </xf>
    <xf numFmtId="0" fontId="4" fillId="0" borderId="11" xfId="1" applyBorder="1" applyAlignment="1">
      <alignment horizontal="center" vertical="top" wrapText="1"/>
    </xf>
    <xf numFmtId="0" fontId="4" fillId="0" borderId="5" xfId="1" applyBorder="1" applyAlignment="1">
      <alignment horizontal="center" vertical="top" wrapText="1"/>
    </xf>
    <xf numFmtId="0" fontId="16" fillId="0" borderId="15" xfId="1" applyFont="1" applyBorder="1" applyAlignment="1">
      <alignment horizontal="left" vertical="top" wrapText="1"/>
    </xf>
    <xf numFmtId="0" fontId="16" fillId="0" borderId="27" xfId="1" applyFont="1" applyBorder="1" applyAlignment="1">
      <alignment horizontal="left" vertical="top"/>
    </xf>
    <xf numFmtId="0" fontId="16" fillId="0" borderId="16" xfId="1" applyFont="1" applyBorder="1" applyAlignment="1">
      <alignment horizontal="left" vertical="top"/>
    </xf>
    <xf numFmtId="0" fontId="16" fillId="0" borderId="17" xfId="1" applyFont="1" applyBorder="1" applyAlignment="1">
      <alignment horizontal="left" vertical="top"/>
    </xf>
    <xf numFmtId="0" fontId="16" fillId="0" borderId="18" xfId="1" applyFont="1" applyBorder="1" applyAlignment="1">
      <alignment horizontal="left" vertical="top"/>
    </xf>
    <xf numFmtId="0" fontId="16" fillId="0" borderId="6" xfId="1" applyFont="1" applyBorder="1" applyAlignment="1">
      <alignment horizontal="left" vertical="top"/>
    </xf>
    <xf numFmtId="0" fontId="16" fillId="0" borderId="0" xfId="1" applyFont="1" applyAlignment="1">
      <alignment horizontal="left" vertical="top"/>
    </xf>
    <xf numFmtId="0" fontId="16" fillId="0" borderId="19" xfId="1" applyFont="1" applyBorder="1" applyAlignment="1">
      <alignment horizontal="left" vertical="top"/>
    </xf>
    <xf numFmtId="0" fontId="16" fillId="0" borderId="20" xfId="1" applyFont="1" applyBorder="1" applyAlignment="1">
      <alignment horizontal="left" vertical="top"/>
    </xf>
    <xf numFmtId="0" fontId="16" fillId="0" borderId="95" xfId="1" applyFont="1" applyBorder="1" applyAlignment="1">
      <alignment horizontal="left" vertical="top"/>
    </xf>
    <xf numFmtId="0" fontId="16" fillId="0" borderId="21" xfId="1" applyFont="1" applyBorder="1" applyAlignment="1">
      <alignment horizontal="left" vertical="top"/>
    </xf>
    <xf numFmtId="0" fontId="16" fillId="0" borderId="22" xfId="1" applyFont="1" applyBorder="1" applyAlignment="1">
      <alignment horizontal="left" vertical="top"/>
    </xf>
    <xf numFmtId="0" fontId="16" fillId="0" borderId="16" xfId="1" applyFont="1" applyBorder="1" applyAlignment="1">
      <alignment horizontal="left" vertical="top" wrapText="1"/>
    </xf>
    <xf numFmtId="0" fontId="16" fillId="0" borderId="17" xfId="1" applyFont="1" applyBorder="1" applyAlignment="1">
      <alignment horizontal="left" vertical="top" wrapText="1"/>
    </xf>
    <xf numFmtId="0" fontId="16" fillId="0" borderId="18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19" xfId="1" applyFont="1" applyBorder="1" applyAlignment="1">
      <alignment horizontal="left" vertical="top" wrapText="1"/>
    </xf>
    <xf numFmtId="0" fontId="16" fillId="0" borderId="20" xfId="1" applyFont="1" applyBorder="1" applyAlignment="1">
      <alignment horizontal="left" vertical="top" wrapText="1"/>
    </xf>
    <xf numFmtId="0" fontId="16" fillId="0" borderId="21" xfId="1" applyFont="1" applyBorder="1" applyAlignment="1">
      <alignment horizontal="left" vertical="top" wrapText="1"/>
    </xf>
    <xf numFmtId="0" fontId="16" fillId="0" borderId="22" xfId="1" applyFont="1" applyBorder="1" applyAlignment="1">
      <alignment horizontal="left" vertical="top" wrapText="1"/>
    </xf>
    <xf numFmtId="0" fontId="16" fillId="0" borderId="98" xfId="1" applyFont="1" applyBorder="1" applyAlignment="1">
      <alignment horizontal="left" vertical="top" wrapText="1"/>
    </xf>
    <xf numFmtId="0" fontId="16" fillId="0" borderId="7" xfId="1" applyFont="1" applyBorder="1" applyAlignment="1">
      <alignment horizontal="left" vertical="top" wrapText="1"/>
    </xf>
    <xf numFmtId="0" fontId="16" fillId="0" borderId="100" xfId="1" applyFont="1" applyBorder="1" applyAlignment="1">
      <alignment horizontal="left" vertical="top" wrapText="1"/>
    </xf>
    <xf numFmtId="0" fontId="14" fillId="0" borderId="15" xfId="1" applyFont="1" applyBorder="1" applyAlignment="1">
      <alignment horizontal="center" vertical="center"/>
    </xf>
    <xf numFmtId="0" fontId="14" fillId="0" borderId="102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4" fillId="0" borderId="103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4" fillId="0" borderId="104" xfId="1" applyFont="1" applyBorder="1" applyAlignment="1">
      <alignment horizontal="center" vertical="center"/>
    </xf>
    <xf numFmtId="0" fontId="4" fillId="0" borderId="15" xfId="1" applyBorder="1" applyAlignment="1">
      <alignment horizontal="center" vertical="center" wrapText="1"/>
    </xf>
    <xf numFmtId="0" fontId="4" fillId="0" borderId="98" xfId="1" applyBorder="1" applyAlignment="1">
      <alignment horizontal="center" vertical="center" wrapText="1"/>
    </xf>
    <xf numFmtId="0" fontId="4" fillId="0" borderId="41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7" fillId="0" borderId="0" xfId="1" applyFont="1" applyAlignment="1">
      <alignment horizontal="left" vertical="top" wrapText="1"/>
    </xf>
    <xf numFmtId="0" fontId="17" fillId="0" borderId="40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7" fillId="0" borderId="43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7" fillId="0" borderId="44" xfId="1" applyFont="1" applyBorder="1" applyAlignment="1">
      <alignment horizontal="left" vertical="center" wrapText="1"/>
    </xf>
    <xf numFmtId="0" fontId="17" fillId="0" borderId="43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center" vertical="center"/>
    </xf>
    <xf numFmtId="0" fontId="10" fillId="0" borderId="101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98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100" xfId="1" applyFont="1" applyBorder="1" applyAlignment="1">
      <alignment horizontal="center" vertical="center"/>
    </xf>
    <xf numFmtId="0" fontId="10" fillId="0" borderId="95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6" fillId="0" borderId="15" xfId="1" quotePrefix="1" applyFont="1" applyBorder="1" applyAlignment="1">
      <alignment horizontal="left" vertical="top" wrapText="1"/>
    </xf>
    <xf numFmtId="0" fontId="16" fillId="0" borderId="15" xfId="1" applyFont="1" applyBorder="1" applyAlignment="1">
      <alignment horizontal="center" vertical="top" wrapText="1"/>
    </xf>
    <xf numFmtId="0" fontId="16" fillId="0" borderId="16" xfId="1" applyFont="1" applyBorder="1" applyAlignment="1">
      <alignment horizontal="center" vertical="top" wrapText="1"/>
    </xf>
    <xf numFmtId="0" fontId="16" fillId="0" borderId="17" xfId="1" applyFont="1" applyBorder="1" applyAlignment="1">
      <alignment horizontal="center" vertical="top" wrapText="1"/>
    </xf>
    <xf numFmtId="0" fontId="16" fillId="0" borderId="18" xfId="1" applyFont="1" applyBorder="1" applyAlignment="1">
      <alignment horizontal="center" vertical="top" wrapText="1"/>
    </xf>
    <xf numFmtId="0" fontId="16" fillId="0" borderId="0" xfId="1" applyFont="1" applyAlignment="1">
      <alignment horizontal="center" vertical="top" wrapText="1"/>
    </xf>
    <xf numFmtId="0" fontId="16" fillId="0" borderId="19" xfId="1" applyFont="1" applyBorder="1" applyAlignment="1">
      <alignment horizontal="center" vertical="top" wrapText="1"/>
    </xf>
    <xf numFmtId="0" fontId="16" fillId="0" borderId="20" xfId="1" applyFont="1" applyBorder="1" applyAlignment="1">
      <alignment horizontal="center" vertical="top" wrapText="1"/>
    </xf>
    <xf numFmtId="0" fontId="16" fillId="0" borderId="21" xfId="1" applyFont="1" applyBorder="1" applyAlignment="1">
      <alignment horizontal="center" vertical="top" wrapText="1"/>
    </xf>
    <xf numFmtId="0" fontId="16" fillId="0" borderId="22" xfId="1" applyFont="1" applyBorder="1" applyAlignment="1">
      <alignment horizontal="center" vertical="top" wrapText="1"/>
    </xf>
    <xf numFmtId="0" fontId="10" fillId="0" borderId="41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9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6" fillId="0" borderId="2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8" fillId="0" borderId="18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51" xfId="0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 vertical="center"/>
    </xf>
    <xf numFmtId="0" fontId="24" fillId="2" borderId="53" xfId="0" applyFont="1" applyFill="1" applyBorder="1" applyAlignment="1">
      <alignment horizontal="center" vertical="center"/>
    </xf>
    <xf numFmtId="0" fontId="28" fillId="0" borderId="0" xfId="1" applyFont="1" applyAlignment="1">
      <alignment horizontal="right" vertical="center"/>
    </xf>
    <xf numFmtId="0" fontId="4" fillId="3" borderId="6" xfId="1" applyFill="1" applyBorder="1" applyAlignment="1">
      <alignment horizontal="center" vertical="center"/>
    </xf>
    <xf numFmtId="0" fontId="4" fillId="3" borderId="7" xfId="1" quotePrefix="1" applyFill="1" applyBorder="1" applyAlignment="1">
      <alignment horizontal="center" vertical="center"/>
    </xf>
    <xf numFmtId="0" fontId="4" fillId="3" borderId="6" xfId="1" quotePrefix="1" applyFill="1" applyBorder="1" applyAlignment="1">
      <alignment horizontal="center" vertical="center"/>
    </xf>
    <xf numFmtId="0" fontId="8" fillId="1" borderId="4" xfId="1" applyFont="1" applyFill="1" applyBorder="1" applyAlignment="1">
      <alignment horizontal="center" vertical="center"/>
    </xf>
    <xf numFmtId="0" fontId="8" fillId="1" borderId="11" xfId="1" applyFont="1" applyFill="1" applyBorder="1" applyAlignment="1">
      <alignment horizontal="center" vertical="center"/>
    </xf>
    <xf numFmtId="0" fontId="8" fillId="1" borderId="5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32" fillId="3" borderId="1" xfId="1" applyFont="1" applyFill="1" applyBorder="1" applyAlignment="1">
      <alignment horizontal="center" vertical="center"/>
    </xf>
    <xf numFmtId="0" fontId="32" fillId="3" borderId="2" xfId="1" applyFont="1" applyFill="1" applyBorder="1" applyAlignment="1">
      <alignment horizontal="center" vertical="center"/>
    </xf>
    <xf numFmtId="0" fontId="32" fillId="3" borderId="3" xfId="1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6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 vertical="top"/>
    </xf>
    <xf numFmtId="0" fontId="37" fillId="2" borderId="46" xfId="0" applyFont="1" applyFill="1" applyBorder="1" applyAlignment="1">
      <alignment horizontal="left" vertical="top"/>
    </xf>
    <xf numFmtId="0" fontId="34" fillId="2" borderId="14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 wrapText="1"/>
    </xf>
    <xf numFmtId="0" fontId="24" fillId="2" borderId="46" xfId="0" applyFont="1" applyFill="1" applyBorder="1" applyAlignment="1">
      <alignment horizontal="center" vertical="center" wrapText="1"/>
    </xf>
    <xf numFmtId="0" fontId="34" fillId="2" borderId="13" xfId="0" applyFont="1" applyFill="1" applyBorder="1" applyAlignment="1">
      <alignment horizontal="center" vertical="center" wrapText="1"/>
    </xf>
    <xf numFmtId="0" fontId="35" fillId="2" borderId="46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left" vertical="center" wrapText="1"/>
    </xf>
    <xf numFmtId="0" fontId="36" fillId="2" borderId="2" xfId="0" applyFont="1" applyFill="1" applyBorder="1" applyAlignment="1">
      <alignment horizontal="left" vertical="center" wrapText="1"/>
    </xf>
    <xf numFmtId="0" fontId="36" fillId="2" borderId="8" xfId="0" applyFont="1" applyFill="1" applyBorder="1" applyAlignment="1">
      <alignment horizontal="left" vertical="center" wrapText="1"/>
    </xf>
    <xf numFmtId="0" fontId="36" fillId="2" borderId="9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3" xfId="1" xr:uid="{59ADB166-6C4D-4626-88DC-C8B7737F1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87085</xdr:colOff>
      <xdr:row>1</xdr:row>
      <xdr:rowOff>283027</xdr:rowOff>
    </xdr:from>
    <xdr:to>
      <xdr:col>1</xdr:col>
      <xdr:colOff>2635416</xdr:colOff>
      <xdr:row>3</xdr:row>
      <xdr:rowOff>217713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0D89F-8D15-4D7D-BDEE-347310D4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85" y="465907"/>
          <a:ext cx="2548331" cy="666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88900</xdr:colOff>
      <xdr:row>22</xdr:row>
      <xdr:rowOff>63500</xdr:rowOff>
    </xdr:from>
    <xdr:to>
      <xdr:col>14</xdr:col>
      <xdr:colOff>12700</xdr:colOff>
      <xdr:row>22</xdr:row>
      <xdr:rowOff>63500</xdr:rowOff>
    </xdr:to>
    <xdr:sp macro="" textlink="">
      <xdr:nvSpPr>
        <xdr:cNvPr id="2" name="Line 5234">
          <a:extLst>
            <a:ext uri="{FF2B5EF4-FFF2-40B4-BE49-F238E27FC236}">
              <a16:creationId xmlns:a16="http://schemas.microsoft.com/office/drawing/2014/main" id="{37E623D8-801A-4ECF-9DDF-4B7B2D516657}"/>
            </a:ext>
          </a:extLst>
        </xdr:cNvPr>
        <xdr:cNvSpPr>
          <a:spLocks noChangeShapeType="1"/>
        </xdr:cNvSpPr>
      </xdr:nvSpPr>
      <xdr:spPr bwMode="auto">
        <a:xfrm>
          <a:off x="1826260" y="37439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88900</xdr:colOff>
      <xdr:row>22</xdr:row>
      <xdr:rowOff>95250</xdr:rowOff>
    </xdr:from>
    <xdr:to>
      <xdr:col>18</xdr:col>
      <xdr:colOff>146050</xdr:colOff>
      <xdr:row>22</xdr:row>
      <xdr:rowOff>95250</xdr:rowOff>
    </xdr:to>
    <xdr:sp macro="" textlink="">
      <xdr:nvSpPr>
        <xdr:cNvPr id="3" name="Line 5230">
          <a:extLst>
            <a:ext uri="{FF2B5EF4-FFF2-40B4-BE49-F238E27FC236}">
              <a16:creationId xmlns:a16="http://schemas.microsoft.com/office/drawing/2014/main" id="{BC2585C3-319D-490D-9DE9-37F7F9EA292A}"/>
            </a:ext>
          </a:extLst>
        </xdr:cNvPr>
        <xdr:cNvSpPr>
          <a:spLocks noChangeShapeType="1"/>
        </xdr:cNvSpPr>
      </xdr:nvSpPr>
      <xdr:spPr bwMode="auto">
        <a:xfrm>
          <a:off x="2550160" y="3775710"/>
          <a:ext cx="20193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21</xdr:row>
      <xdr:rowOff>57150</xdr:rowOff>
    </xdr:from>
    <xdr:to>
      <xdr:col>18</xdr:col>
      <xdr:colOff>38100</xdr:colOff>
      <xdr:row>23</xdr:row>
      <xdr:rowOff>95250</xdr:rowOff>
    </xdr:to>
    <xdr:sp macro="" textlink="">
      <xdr:nvSpPr>
        <xdr:cNvPr id="4" name="Rectangle 5227">
          <a:extLst>
            <a:ext uri="{FF2B5EF4-FFF2-40B4-BE49-F238E27FC236}">
              <a16:creationId xmlns:a16="http://schemas.microsoft.com/office/drawing/2014/main" id="{88314704-55BC-40B5-BCA2-31FD9AC16932}"/>
            </a:ext>
          </a:extLst>
        </xdr:cNvPr>
        <xdr:cNvSpPr>
          <a:spLocks noChangeArrowheads="1"/>
        </xdr:cNvSpPr>
      </xdr:nvSpPr>
      <xdr:spPr bwMode="auto">
        <a:xfrm>
          <a:off x="1939290" y="3569970"/>
          <a:ext cx="70485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rtl="0"/>
          <a:endParaRPr lang="en-US" sz="500">
            <a:effectLst/>
          </a:endParaRPr>
        </a:p>
      </xdr:txBody>
    </xdr:sp>
    <xdr:clientData/>
  </xdr:twoCellAnchor>
  <xdr:twoCellAnchor>
    <xdr:from>
      <xdr:col>12</xdr:col>
      <xdr:colOff>88900</xdr:colOff>
      <xdr:row>15</xdr:row>
      <xdr:rowOff>19050</xdr:rowOff>
    </xdr:from>
    <xdr:to>
      <xdr:col>14</xdr:col>
      <xdr:colOff>12700</xdr:colOff>
      <xdr:row>15</xdr:row>
      <xdr:rowOff>19050</xdr:rowOff>
    </xdr:to>
    <xdr:sp macro="" textlink="">
      <xdr:nvSpPr>
        <xdr:cNvPr id="5" name="Line 5233">
          <a:extLst>
            <a:ext uri="{FF2B5EF4-FFF2-40B4-BE49-F238E27FC236}">
              <a16:creationId xmlns:a16="http://schemas.microsoft.com/office/drawing/2014/main" id="{5EC303F6-6761-454C-8D96-21C1C51F8DE6}"/>
            </a:ext>
          </a:extLst>
        </xdr:cNvPr>
        <xdr:cNvSpPr>
          <a:spLocks noChangeShapeType="1"/>
        </xdr:cNvSpPr>
      </xdr:nvSpPr>
      <xdr:spPr bwMode="auto">
        <a:xfrm>
          <a:off x="1826260" y="2526030"/>
          <a:ext cx="213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88900</xdr:colOff>
      <xdr:row>29</xdr:row>
      <xdr:rowOff>76200</xdr:rowOff>
    </xdr:from>
    <xdr:to>
      <xdr:col>14</xdr:col>
      <xdr:colOff>12700</xdr:colOff>
      <xdr:row>29</xdr:row>
      <xdr:rowOff>76200</xdr:rowOff>
    </xdr:to>
    <xdr:sp macro="" textlink="">
      <xdr:nvSpPr>
        <xdr:cNvPr id="6" name="Line 5235">
          <a:extLst>
            <a:ext uri="{FF2B5EF4-FFF2-40B4-BE49-F238E27FC236}">
              <a16:creationId xmlns:a16="http://schemas.microsoft.com/office/drawing/2014/main" id="{FB61FF36-D61E-405E-8ABE-33CC82AA9687}"/>
            </a:ext>
          </a:extLst>
        </xdr:cNvPr>
        <xdr:cNvSpPr>
          <a:spLocks noChangeShapeType="1"/>
        </xdr:cNvSpPr>
      </xdr:nvSpPr>
      <xdr:spPr bwMode="auto">
        <a:xfrm>
          <a:off x="1826260" y="4930140"/>
          <a:ext cx="213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88900</xdr:colOff>
      <xdr:row>19</xdr:row>
      <xdr:rowOff>139700</xdr:rowOff>
    </xdr:from>
    <xdr:to>
      <xdr:col>33</xdr:col>
      <xdr:colOff>19050</xdr:colOff>
      <xdr:row>19</xdr:row>
      <xdr:rowOff>139700</xdr:rowOff>
    </xdr:to>
    <xdr:sp macro="" textlink="">
      <xdr:nvSpPr>
        <xdr:cNvPr id="7" name="Line 121">
          <a:extLst>
            <a:ext uri="{FF2B5EF4-FFF2-40B4-BE49-F238E27FC236}">
              <a16:creationId xmlns:a16="http://schemas.microsoft.com/office/drawing/2014/main" id="{165C137C-953C-4908-9E21-181A8BB949E9}"/>
            </a:ext>
          </a:extLst>
        </xdr:cNvPr>
        <xdr:cNvSpPr>
          <a:spLocks noChangeShapeType="1"/>
        </xdr:cNvSpPr>
      </xdr:nvSpPr>
      <xdr:spPr bwMode="auto">
        <a:xfrm>
          <a:off x="4645660" y="3317240"/>
          <a:ext cx="21971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107950</xdr:colOff>
      <xdr:row>19</xdr:row>
      <xdr:rowOff>114300</xdr:rowOff>
    </xdr:from>
    <xdr:to>
      <xdr:col>38</xdr:col>
      <xdr:colOff>0</xdr:colOff>
      <xdr:row>19</xdr:row>
      <xdr:rowOff>114300</xdr:rowOff>
    </xdr:to>
    <xdr:sp macro="" textlink="">
      <xdr:nvSpPr>
        <xdr:cNvPr id="8" name="Line 140">
          <a:extLst>
            <a:ext uri="{FF2B5EF4-FFF2-40B4-BE49-F238E27FC236}">
              <a16:creationId xmlns:a16="http://schemas.microsoft.com/office/drawing/2014/main" id="{25136DA3-D98F-4D7F-91CF-9A728D8C92E1}"/>
            </a:ext>
          </a:extLst>
        </xdr:cNvPr>
        <xdr:cNvSpPr>
          <a:spLocks noChangeShapeType="1"/>
        </xdr:cNvSpPr>
      </xdr:nvSpPr>
      <xdr:spPr bwMode="auto">
        <a:xfrm>
          <a:off x="5388610" y="3291840"/>
          <a:ext cx="18161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88900</xdr:colOff>
      <xdr:row>37</xdr:row>
      <xdr:rowOff>38100</xdr:rowOff>
    </xdr:from>
    <xdr:to>
      <xdr:col>33</xdr:col>
      <xdr:colOff>12700</xdr:colOff>
      <xdr:row>37</xdr:row>
      <xdr:rowOff>38100</xdr:rowOff>
    </xdr:to>
    <xdr:sp macro="" textlink="">
      <xdr:nvSpPr>
        <xdr:cNvPr id="9" name="Line 124">
          <a:extLst>
            <a:ext uri="{FF2B5EF4-FFF2-40B4-BE49-F238E27FC236}">
              <a16:creationId xmlns:a16="http://schemas.microsoft.com/office/drawing/2014/main" id="{3C950F18-647E-4B02-9298-D9E4D2022765}"/>
            </a:ext>
          </a:extLst>
        </xdr:cNvPr>
        <xdr:cNvSpPr>
          <a:spLocks noChangeShapeType="1"/>
        </xdr:cNvSpPr>
      </xdr:nvSpPr>
      <xdr:spPr bwMode="auto">
        <a:xfrm>
          <a:off x="4645660" y="6233160"/>
          <a:ext cx="213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31750</xdr:colOff>
      <xdr:row>17</xdr:row>
      <xdr:rowOff>114300</xdr:rowOff>
    </xdr:from>
    <xdr:to>
      <xdr:col>37</xdr:col>
      <xdr:colOff>57150</xdr:colOff>
      <xdr:row>21</xdr:row>
      <xdr:rowOff>139700</xdr:rowOff>
    </xdr:to>
    <xdr:sp macro="" textlink="">
      <xdr:nvSpPr>
        <xdr:cNvPr id="10" name="Rectangle 123">
          <a:extLst>
            <a:ext uri="{FF2B5EF4-FFF2-40B4-BE49-F238E27FC236}">
              <a16:creationId xmlns:a16="http://schemas.microsoft.com/office/drawing/2014/main" id="{855CAB5A-A67A-403D-9464-E1739402E178}"/>
            </a:ext>
          </a:extLst>
        </xdr:cNvPr>
        <xdr:cNvSpPr>
          <a:spLocks noChangeArrowheads="1"/>
        </xdr:cNvSpPr>
      </xdr:nvSpPr>
      <xdr:spPr bwMode="auto">
        <a:xfrm>
          <a:off x="4733290" y="2956560"/>
          <a:ext cx="749300" cy="6959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38100</xdr:colOff>
      <xdr:row>35</xdr:row>
      <xdr:rowOff>6350</xdr:rowOff>
    </xdr:from>
    <xdr:to>
      <xdr:col>37</xdr:col>
      <xdr:colOff>82550</xdr:colOff>
      <xdr:row>39</xdr:row>
      <xdr:rowOff>25400</xdr:rowOff>
    </xdr:to>
    <xdr:sp macro="" textlink="">
      <xdr:nvSpPr>
        <xdr:cNvPr id="11" name="Rectangle 142">
          <a:extLst>
            <a:ext uri="{FF2B5EF4-FFF2-40B4-BE49-F238E27FC236}">
              <a16:creationId xmlns:a16="http://schemas.microsoft.com/office/drawing/2014/main" id="{029F87BB-C7F3-4C78-A53E-114A19AB4AB6}"/>
            </a:ext>
          </a:extLst>
        </xdr:cNvPr>
        <xdr:cNvSpPr>
          <a:spLocks noChangeArrowheads="1"/>
        </xdr:cNvSpPr>
      </xdr:nvSpPr>
      <xdr:spPr bwMode="auto">
        <a:xfrm>
          <a:off x="4739640" y="5866130"/>
          <a:ext cx="768350" cy="6819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38100</xdr:colOff>
      <xdr:row>14</xdr:row>
      <xdr:rowOff>114300</xdr:rowOff>
    </xdr:from>
    <xdr:to>
      <xdr:col>24</xdr:col>
      <xdr:colOff>76200</xdr:colOff>
      <xdr:row>14</xdr:row>
      <xdr:rowOff>114300</xdr:rowOff>
    </xdr:to>
    <xdr:sp macro="" textlink="">
      <xdr:nvSpPr>
        <xdr:cNvPr id="12" name="Line 5224">
          <a:extLst>
            <a:ext uri="{FF2B5EF4-FFF2-40B4-BE49-F238E27FC236}">
              <a16:creationId xmlns:a16="http://schemas.microsoft.com/office/drawing/2014/main" id="{489E640C-BB13-4376-980E-DBBC222ED275}"/>
            </a:ext>
          </a:extLst>
        </xdr:cNvPr>
        <xdr:cNvSpPr>
          <a:spLocks noChangeShapeType="1"/>
        </xdr:cNvSpPr>
      </xdr:nvSpPr>
      <xdr:spPr bwMode="auto">
        <a:xfrm>
          <a:off x="3390900" y="245364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88900</xdr:colOff>
      <xdr:row>28</xdr:row>
      <xdr:rowOff>114300</xdr:rowOff>
    </xdr:from>
    <xdr:to>
      <xdr:col>50</xdr:col>
      <xdr:colOff>88900</xdr:colOff>
      <xdr:row>36</xdr:row>
      <xdr:rowOff>95250</xdr:rowOff>
    </xdr:to>
    <xdr:sp macro="" textlink="">
      <xdr:nvSpPr>
        <xdr:cNvPr id="13" name="Line 51">
          <a:extLst>
            <a:ext uri="{FF2B5EF4-FFF2-40B4-BE49-F238E27FC236}">
              <a16:creationId xmlns:a16="http://schemas.microsoft.com/office/drawing/2014/main" id="{FFE8D65C-3BDC-4E64-A73A-DA599E918446}"/>
            </a:ext>
          </a:extLst>
        </xdr:cNvPr>
        <xdr:cNvSpPr>
          <a:spLocks noChangeShapeType="1"/>
        </xdr:cNvSpPr>
      </xdr:nvSpPr>
      <xdr:spPr bwMode="auto">
        <a:xfrm>
          <a:off x="7396480" y="4800600"/>
          <a:ext cx="0" cy="13220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88900</xdr:colOff>
      <xdr:row>25</xdr:row>
      <xdr:rowOff>114300</xdr:rowOff>
    </xdr:from>
    <xdr:to>
      <xdr:col>54</xdr:col>
      <xdr:colOff>88900</xdr:colOff>
      <xdr:row>28</xdr:row>
      <xdr:rowOff>114300</xdr:rowOff>
    </xdr:to>
    <xdr:sp macro="" textlink="">
      <xdr:nvSpPr>
        <xdr:cNvPr id="14" name="Line 52">
          <a:extLst>
            <a:ext uri="{FF2B5EF4-FFF2-40B4-BE49-F238E27FC236}">
              <a16:creationId xmlns:a16="http://schemas.microsoft.com/office/drawing/2014/main" id="{B3FE4B13-0A7C-4D2A-B3D5-B68998E7EEB8}"/>
            </a:ext>
          </a:extLst>
        </xdr:cNvPr>
        <xdr:cNvSpPr>
          <a:spLocks noChangeShapeType="1"/>
        </xdr:cNvSpPr>
      </xdr:nvSpPr>
      <xdr:spPr bwMode="auto">
        <a:xfrm>
          <a:off x="7975600" y="4297680"/>
          <a:ext cx="0" cy="502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88900</xdr:colOff>
      <xdr:row>28</xdr:row>
      <xdr:rowOff>114300</xdr:rowOff>
    </xdr:from>
    <xdr:to>
      <xdr:col>58</xdr:col>
      <xdr:colOff>57150</xdr:colOff>
      <xdr:row>28</xdr:row>
      <xdr:rowOff>114300</xdr:rowOff>
    </xdr:to>
    <xdr:sp macro="" textlink="">
      <xdr:nvSpPr>
        <xdr:cNvPr id="15" name="Line 53">
          <a:extLst>
            <a:ext uri="{FF2B5EF4-FFF2-40B4-BE49-F238E27FC236}">
              <a16:creationId xmlns:a16="http://schemas.microsoft.com/office/drawing/2014/main" id="{78C226D0-FD0A-48AF-9BC9-E78522092618}"/>
            </a:ext>
          </a:extLst>
        </xdr:cNvPr>
        <xdr:cNvSpPr>
          <a:spLocks noChangeShapeType="1"/>
        </xdr:cNvSpPr>
      </xdr:nvSpPr>
      <xdr:spPr bwMode="auto">
        <a:xfrm flipV="1">
          <a:off x="7396480" y="4800600"/>
          <a:ext cx="11264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57150</xdr:colOff>
      <xdr:row>28</xdr:row>
      <xdr:rowOff>114300</xdr:rowOff>
    </xdr:from>
    <xdr:to>
      <xdr:col>58</xdr:col>
      <xdr:colOff>57150</xdr:colOff>
      <xdr:row>36</xdr:row>
      <xdr:rowOff>95250</xdr:rowOff>
    </xdr:to>
    <xdr:sp macro="" textlink="">
      <xdr:nvSpPr>
        <xdr:cNvPr id="16" name="Line 54">
          <a:extLst>
            <a:ext uri="{FF2B5EF4-FFF2-40B4-BE49-F238E27FC236}">
              <a16:creationId xmlns:a16="http://schemas.microsoft.com/office/drawing/2014/main" id="{B0FC3F09-62C2-4A65-AAE9-BB60C0D574AE}"/>
            </a:ext>
          </a:extLst>
        </xdr:cNvPr>
        <xdr:cNvSpPr>
          <a:spLocks noChangeShapeType="1"/>
        </xdr:cNvSpPr>
      </xdr:nvSpPr>
      <xdr:spPr bwMode="auto">
        <a:xfrm>
          <a:off x="8522970" y="4800600"/>
          <a:ext cx="0" cy="13220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146049</xdr:colOff>
      <xdr:row>26</xdr:row>
      <xdr:rowOff>57150</xdr:rowOff>
    </xdr:from>
    <xdr:to>
      <xdr:col>59</xdr:col>
      <xdr:colOff>16932</xdr:colOff>
      <xdr:row>28</xdr:row>
      <xdr:rowOff>63500</xdr:rowOff>
    </xdr:to>
    <xdr:sp macro="" textlink="">
      <xdr:nvSpPr>
        <xdr:cNvPr id="17" name="Rectangle 55">
          <a:extLst>
            <a:ext uri="{FF2B5EF4-FFF2-40B4-BE49-F238E27FC236}">
              <a16:creationId xmlns:a16="http://schemas.microsoft.com/office/drawing/2014/main" id="{369C507F-308C-4444-A400-2FBC295DAF29}"/>
            </a:ext>
          </a:extLst>
        </xdr:cNvPr>
        <xdr:cNvSpPr>
          <a:spLocks noChangeArrowheads="1"/>
        </xdr:cNvSpPr>
      </xdr:nvSpPr>
      <xdr:spPr bwMode="auto">
        <a:xfrm>
          <a:off x="7453629" y="4408170"/>
          <a:ext cx="1173903" cy="3416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Machine 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(Example)</a:t>
          </a:r>
          <a:endParaRPr lang="en-ID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46</xdr:col>
      <xdr:colOff>88900</xdr:colOff>
      <xdr:row>29</xdr:row>
      <xdr:rowOff>82550</xdr:rowOff>
    </xdr:from>
    <xdr:to>
      <xdr:col>54</xdr:col>
      <xdr:colOff>57150</xdr:colOff>
      <xdr:row>35</xdr:row>
      <xdr:rowOff>101600</xdr:rowOff>
    </xdr:to>
    <xdr:sp macro="" textlink="">
      <xdr:nvSpPr>
        <xdr:cNvPr id="18" name="Rectangle 56">
          <a:extLst>
            <a:ext uri="{FF2B5EF4-FFF2-40B4-BE49-F238E27FC236}">
              <a16:creationId xmlns:a16="http://schemas.microsoft.com/office/drawing/2014/main" id="{CF1FBA25-BFF9-4E8A-B9AA-A20574B2D911}"/>
            </a:ext>
          </a:extLst>
        </xdr:cNvPr>
        <xdr:cNvSpPr>
          <a:spLocks noChangeArrowheads="1"/>
        </xdr:cNvSpPr>
      </xdr:nvSpPr>
      <xdr:spPr bwMode="auto">
        <a:xfrm>
          <a:off x="6817360" y="4936490"/>
          <a:ext cx="1126490" cy="1024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46</xdr:col>
      <xdr:colOff>107950</xdr:colOff>
      <xdr:row>36</xdr:row>
      <xdr:rowOff>12700</xdr:rowOff>
    </xdr:from>
    <xdr:to>
      <xdr:col>54</xdr:col>
      <xdr:colOff>57150</xdr:colOff>
      <xdr:row>40</xdr:row>
      <xdr:rowOff>38100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36399B2A-6135-49F3-9C72-2D4B96F749A2}"/>
            </a:ext>
          </a:extLst>
        </xdr:cNvPr>
        <xdr:cNvSpPr>
          <a:spLocks noChangeArrowheads="1"/>
        </xdr:cNvSpPr>
      </xdr:nvSpPr>
      <xdr:spPr bwMode="auto">
        <a:xfrm>
          <a:off x="6836410" y="6040120"/>
          <a:ext cx="1107440" cy="6883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37</xdr:col>
      <xdr:colOff>146050</xdr:colOff>
      <xdr:row>8</xdr:row>
      <xdr:rowOff>101600</xdr:rowOff>
    </xdr:from>
    <xdr:to>
      <xdr:col>39</xdr:col>
      <xdr:colOff>31750</xdr:colOff>
      <xdr:row>8</xdr:row>
      <xdr:rowOff>101600</xdr:rowOff>
    </xdr:to>
    <xdr:sp macro="" textlink="">
      <xdr:nvSpPr>
        <xdr:cNvPr id="20" name="Line 58">
          <a:extLst>
            <a:ext uri="{FF2B5EF4-FFF2-40B4-BE49-F238E27FC236}">
              <a16:creationId xmlns:a16="http://schemas.microsoft.com/office/drawing/2014/main" id="{22836F7C-1BB9-4C19-856E-B6DF795313A5}"/>
            </a:ext>
          </a:extLst>
        </xdr:cNvPr>
        <xdr:cNvSpPr>
          <a:spLocks noChangeShapeType="1"/>
        </xdr:cNvSpPr>
      </xdr:nvSpPr>
      <xdr:spPr bwMode="auto">
        <a:xfrm>
          <a:off x="5571490" y="1435100"/>
          <a:ext cx="1752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31750</xdr:colOff>
      <xdr:row>21</xdr:row>
      <xdr:rowOff>44450</xdr:rowOff>
    </xdr:from>
    <xdr:to>
      <xdr:col>12</xdr:col>
      <xdr:colOff>88900</xdr:colOff>
      <xdr:row>21</xdr:row>
      <xdr:rowOff>44450</xdr:rowOff>
    </xdr:to>
    <xdr:sp macro="" textlink="">
      <xdr:nvSpPr>
        <xdr:cNvPr id="21" name="Line 68">
          <a:extLst>
            <a:ext uri="{FF2B5EF4-FFF2-40B4-BE49-F238E27FC236}">
              <a16:creationId xmlns:a16="http://schemas.microsoft.com/office/drawing/2014/main" id="{0530B8D0-84F1-4EC9-AC84-AD2809875D4A}"/>
            </a:ext>
          </a:extLst>
        </xdr:cNvPr>
        <xdr:cNvSpPr>
          <a:spLocks noChangeShapeType="1"/>
        </xdr:cNvSpPr>
      </xdr:nvSpPr>
      <xdr:spPr bwMode="auto">
        <a:xfrm>
          <a:off x="1624330" y="3557270"/>
          <a:ext cx="20193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4</xdr:row>
      <xdr:rowOff>38100</xdr:rowOff>
    </xdr:from>
    <xdr:to>
      <xdr:col>11</xdr:col>
      <xdr:colOff>82550</xdr:colOff>
      <xdr:row>5</xdr:row>
      <xdr:rowOff>114300</xdr:rowOff>
    </xdr:to>
    <xdr:sp macro="" textlink="">
      <xdr:nvSpPr>
        <xdr:cNvPr id="22" name="Rectangle 69">
          <a:extLst>
            <a:ext uri="{FF2B5EF4-FFF2-40B4-BE49-F238E27FC236}">
              <a16:creationId xmlns:a16="http://schemas.microsoft.com/office/drawing/2014/main" id="{A4F8914C-116E-4B54-A898-E2F08F540AF5}"/>
            </a:ext>
          </a:extLst>
        </xdr:cNvPr>
        <xdr:cNvSpPr>
          <a:spLocks noChangeArrowheads="1"/>
        </xdr:cNvSpPr>
      </xdr:nvSpPr>
      <xdr:spPr bwMode="auto">
        <a:xfrm>
          <a:off x="38100" y="701040"/>
          <a:ext cx="1637030" cy="2438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 I Clarify Problem</a:t>
          </a:r>
        </a:p>
      </xdr:txBody>
    </xdr:sp>
    <xdr:clientData/>
  </xdr:twoCellAnchor>
  <xdr:oneCellAnchor>
    <xdr:from>
      <xdr:col>8</xdr:col>
      <xdr:colOff>19050</xdr:colOff>
      <xdr:row>5</xdr:row>
      <xdr:rowOff>146050</xdr:rowOff>
    </xdr:from>
    <xdr:ext cx="666750" cy="152400"/>
    <xdr:sp macro="" textlink="">
      <xdr:nvSpPr>
        <xdr:cNvPr id="23" name="Text Box 71">
          <a:extLst>
            <a:ext uri="{FF2B5EF4-FFF2-40B4-BE49-F238E27FC236}">
              <a16:creationId xmlns:a16="http://schemas.microsoft.com/office/drawing/2014/main" id="{B5F0C4F8-E965-4428-BD37-0247174ED81A}"/>
            </a:ext>
          </a:extLst>
        </xdr:cNvPr>
        <xdr:cNvSpPr txBox="1">
          <a:spLocks noChangeArrowheads="1"/>
        </xdr:cNvSpPr>
      </xdr:nvSpPr>
      <xdr:spPr bwMode="auto">
        <a:xfrm>
          <a:off x="1177290" y="976630"/>
          <a:ext cx="666750" cy="15240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Ultimate Goal</a:t>
          </a:r>
        </a:p>
      </xdr:txBody>
    </xdr:sp>
    <xdr:clientData/>
  </xdr:oneCellAnchor>
  <xdr:oneCellAnchor>
    <xdr:from>
      <xdr:col>4</xdr:col>
      <xdr:colOff>40216</xdr:colOff>
      <xdr:row>10</xdr:row>
      <xdr:rowOff>152399</xdr:rowOff>
    </xdr:from>
    <xdr:ext cx="704850" cy="146050"/>
    <xdr:sp macro="" textlink="">
      <xdr:nvSpPr>
        <xdr:cNvPr id="24" name="Text Box 74">
          <a:extLst>
            <a:ext uri="{FF2B5EF4-FFF2-40B4-BE49-F238E27FC236}">
              <a16:creationId xmlns:a16="http://schemas.microsoft.com/office/drawing/2014/main" id="{34AEC777-D7AE-419A-9C25-26C4FEBC688B}"/>
            </a:ext>
          </a:extLst>
        </xdr:cNvPr>
        <xdr:cNvSpPr txBox="1">
          <a:spLocks noChangeArrowheads="1"/>
        </xdr:cNvSpPr>
      </xdr:nvSpPr>
      <xdr:spPr bwMode="auto">
        <a:xfrm>
          <a:off x="619336" y="1821179"/>
          <a:ext cx="704850" cy="14605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Ideal Situation</a:t>
          </a:r>
        </a:p>
      </xdr:txBody>
    </xdr:sp>
    <xdr:clientData/>
  </xdr:oneCellAnchor>
  <xdr:oneCellAnchor>
    <xdr:from>
      <xdr:col>1</xdr:col>
      <xdr:colOff>8467</xdr:colOff>
      <xdr:row>22</xdr:row>
      <xdr:rowOff>25400</xdr:rowOff>
    </xdr:from>
    <xdr:ext cx="838200" cy="146050"/>
    <xdr:sp macro="" textlink="">
      <xdr:nvSpPr>
        <xdr:cNvPr id="25" name="Text Box 75">
          <a:extLst>
            <a:ext uri="{FF2B5EF4-FFF2-40B4-BE49-F238E27FC236}">
              <a16:creationId xmlns:a16="http://schemas.microsoft.com/office/drawing/2014/main" id="{40DF9108-8EC8-4644-BAFA-651102B8D325}"/>
            </a:ext>
          </a:extLst>
        </xdr:cNvPr>
        <xdr:cNvSpPr txBox="1">
          <a:spLocks noChangeArrowheads="1"/>
        </xdr:cNvSpPr>
      </xdr:nvSpPr>
      <xdr:spPr bwMode="auto">
        <a:xfrm>
          <a:off x="153247" y="3705860"/>
          <a:ext cx="838200" cy="14605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Current Situation</a:t>
          </a:r>
        </a:p>
      </xdr:txBody>
    </xdr:sp>
    <xdr:clientData/>
  </xdr:oneCellAnchor>
  <xdr:twoCellAnchor>
    <xdr:from>
      <xdr:col>2</xdr:col>
      <xdr:colOff>127000</xdr:colOff>
      <xdr:row>19</xdr:row>
      <xdr:rowOff>82550</xdr:rowOff>
    </xdr:from>
    <xdr:to>
      <xdr:col>4</xdr:col>
      <xdr:colOff>0</xdr:colOff>
      <xdr:row>22</xdr:row>
      <xdr:rowOff>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0422ECE3-BE20-450A-908A-32122FE1CE00}"/>
            </a:ext>
          </a:extLst>
        </xdr:cNvPr>
        <xdr:cNvSpPr>
          <a:spLocks noChangeArrowheads="1"/>
        </xdr:cNvSpPr>
      </xdr:nvSpPr>
      <xdr:spPr bwMode="auto">
        <a:xfrm>
          <a:off x="416560" y="3260090"/>
          <a:ext cx="162560" cy="420370"/>
        </a:xfrm>
        <a:prstGeom prst="upDownArrow">
          <a:avLst>
            <a:gd name="adj1" fmla="val 50000"/>
            <a:gd name="adj2" fmla="val 41333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146050</xdr:colOff>
      <xdr:row>18</xdr:row>
      <xdr:rowOff>38100</xdr:rowOff>
    </xdr:from>
    <xdr:to>
      <xdr:col>59</xdr:col>
      <xdr:colOff>139700</xdr:colOff>
      <xdr:row>19</xdr:row>
      <xdr:rowOff>63500</xdr:rowOff>
    </xdr:to>
    <xdr:sp macro="" textlink="">
      <xdr:nvSpPr>
        <xdr:cNvPr id="27" name="AutoShape 77">
          <a:extLst>
            <a:ext uri="{FF2B5EF4-FFF2-40B4-BE49-F238E27FC236}">
              <a16:creationId xmlns:a16="http://schemas.microsoft.com/office/drawing/2014/main" id="{3CCF492D-A4E4-4E0D-B280-0BDFB84524A6}"/>
            </a:ext>
          </a:extLst>
        </xdr:cNvPr>
        <xdr:cNvSpPr>
          <a:spLocks noChangeArrowheads="1"/>
        </xdr:cNvSpPr>
      </xdr:nvSpPr>
      <xdr:spPr bwMode="auto">
        <a:xfrm>
          <a:off x="8467090" y="3048000"/>
          <a:ext cx="283210" cy="193040"/>
        </a:xfrm>
        <a:prstGeom prst="rightArrow">
          <a:avLst>
            <a:gd name="adj1" fmla="val 50000"/>
            <a:gd name="adj2" fmla="val 42241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127000</xdr:colOff>
      <xdr:row>10</xdr:row>
      <xdr:rowOff>133350</xdr:rowOff>
    </xdr:from>
    <xdr:to>
      <xdr:col>3</xdr:col>
      <xdr:colOff>139700</xdr:colOff>
      <xdr:row>11</xdr:row>
      <xdr:rowOff>120650</xdr:rowOff>
    </xdr:to>
    <xdr:sp macro="" textlink="">
      <xdr:nvSpPr>
        <xdr:cNvPr id="28" name="AutoShape 78">
          <a:extLst>
            <a:ext uri="{FF2B5EF4-FFF2-40B4-BE49-F238E27FC236}">
              <a16:creationId xmlns:a16="http://schemas.microsoft.com/office/drawing/2014/main" id="{B5F9FC0B-06F4-4D4C-AF13-40BF5718D304}"/>
            </a:ext>
          </a:extLst>
        </xdr:cNvPr>
        <xdr:cNvSpPr>
          <a:spLocks noChangeArrowheads="1"/>
        </xdr:cNvSpPr>
      </xdr:nvSpPr>
      <xdr:spPr bwMode="auto">
        <a:xfrm>
          <a:off x="416560" y="1802130"/>
          <a:ext cx="157480" cy="15494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101600</xdr:colOff>
      <xdr:row>10</xdr:row>
      <xdr:rowOff>152400</xdr:rowOff>
    </xdr:from>
    <xdr:to>
      <xdr:col>25</xdr:col>
      <xdr:colOff>57150</xdr:colOff>
      <xdr:row>12</xdr:row>
      <xdr:rowOff>63500</xdr:rowOff>
    </xdr:to>
    <xdr:sp macro="" textlink="">
      <xdr:nvSpPr>
        <xdr:cNvPr id="29" name="Rectangle 80">
          <a:extLst>
            <a:ext uri="{FF2B5EF4-FFF2-40B4-BE49-F238E27FC236}">
              <a16:creationId xmlns:a16="http://schemas.microsoft.com/office/drawing/2014/main" id="{C3FCB073-89DF-403F-AA8B-518AC81DBFE1}"/>
            </a:ext>
          </a:extLst>
        </xdr:cNvPr>
        <xdr:cNvSpPr>
          <a:spLocks noChangeArrowheads="1"/>
        </xdr:cNvSpPr>
      </xdr:nvSpPr>
      <xdr:spPr bwMode="auto">
        <a:xfrm>
          <a:off x="1983740" y="1821180"/>
          <a:ext cx="1761490" cy="246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 II Break Down Problem</a:t>
          </a:r>
        </a:p>
      </xdr:txBody>
    </xdr:sp>
    <xdr:clientData/>
  </xdr:twoCellAnchor>
  <xdr:oneCellAnchor>
    <xdr:from>
      <xdr:col>20</xdr:col>
      <xdr:colOff>0</xdr:colOff>
      <xdr:row>12</xdr:row>
      <xdr:rowOff>107950</xdr:rowOff>
    </xdr:from>
    <xdr:ext cx="488950" cy="146050"/>
    <xdr:sp macro="" textlink="">
      <xdr:nvSpPr>
        <xdr:cNvPr id="30" name="Text Box 91">
          <a:extLst>
            <a:ext uri="{FF2B5EF4-FFF2-40B4-BE49-F238E27FC236}">
              <a16:creationId xmlns:a16="http://schemas.microsoft.com/office/drawing/2014/main" id="{07C83BD0-B7C4-444B-B82F-249E50F4AA8D}"/>
            </a:ext>
          </a:extLst>
        </xdr:cNvPr>
        <xdr:cNvSpPr txBox="1">
          <a:spLocks noChangeArrowheads="1"/>
        </xdr:cNvSpPr>
      </xdr:nvSpPr>
      <xdr:spPr bwMode="auto">
        <a:xfrm>
          <a:off x="2895600" y="2112010"/>
          <a:ext cx="488950" cy="14605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By Cause</a:t>
          </a:r>
        </a:p>
      </xdr:txBody>
    </xdr:sp>
    <xdr:clientData/>
  </xdr:oneCellAnchor>
  <xdr:twoCellAnchor>
    <xdr:from>
      <xdr:col>30</xdr:col>
      <xdr:colOff>139700</xdr:colOff>
      <xdr:row>22</xdr:row>
      <xdr:rowOff>0</xdr:rowOff>
    </xdr:from>
    <xdr:to>
      <xdr:col>31</xdr:col>
      <xdr:colOff>88900</xdr:colOff>
      <xdr:row>22</xdr:row>
      <xdr:rowOff>0</xdr:rowOff>
    </xdr:to>
    <xdr:sp macro="" textlink="">
      <xdr:nvSpPr>
        <xdr:cNvPr id="31" name="Line 119">
          <a:extLst>
            <a:ext uri="{FF2B5EF4-FFF2-40B4-BE49-F238E27FC236}">
              <a16:creationId xmlns:a16="http://schemas.microsoft.com/office/drawing/2014/main" id="{66EFEA18-1092-4787-8524-D1506FF3CE0F}"/>
            </a:ext>
          </a:extLst>
        </xdr:cNvPr>
        <xdr:cNvSpPr>
          <a:spLocks noChangeShapeType="1"/>
        </xdr:cNvSpPr>
      </xdr:nvSpPr>
      <xdr:spPr bwMode="auto">
        <a:xfrm>
          <a:off x="4551680" y="3680460"/>
          <a:ext cx="93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17</xdr:row>
      <xdr:rowOff>76200</xdr:rowOff>
    </xdr:from>
    <xdr:to>
      <xdr:col>20</xdr:col>
      <xdr:colOff>31750</xdr:colOff>
      <xdr:row>17</xdr:row>
      <xdr:rowOff>76200</xdr:rowOff>
    </xdr:to>
    <xdr:sp macro="" textlink="">
      <xdr:nvSpPr>
        <xdr:cNvPr id="32" name="Line 59">
          <a:extLst>
            <a:ext uri="{FF2B5EF4-FFF2-40B4-BE49-F238E27FC236}">
              <a16:creationId xmlns:a16="http://schemas.microsoft.com/office/drawing/2014/main" id="{486F3A8E-C2AD-485A-8903-A0EF348B2116}"/>
            </a:ext>
          </a:extLst>
        </xdr:cNvPr>
        <xdr:cNvSpPr>
          <a:spLocks noChangeShapeType="1"/>
        </xdr:cNvSpPr>
      </xdr:nvSpPr>
      <xdr:spPr bwMode="auto">
        <a:xfrm>
          <a:off x="2745740" y="291846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19</xdr:row>
      <xdr:rowOff>139700</xdr:rowOff>
    </xdr:from>
    <xdr:to>
      <xdr:col>20</xdr:col>
      <xdr:colOff>31750</xdr:colOff>
      <xdr:row>19</xdr:row>
      <xdr:rowOff>139700</xdr:rowOff>
    </xdr:to>
    <xdr:sp macro="" textlink="">
      <xdr:nvSpPr>
        <xdr:cNvPr id="33" name="Line 60">
          <a:extLst>
            <a:ext uri="{FF2B5EF4-FFF2-40B4-BE49-F238E27FC236}">
              <a16:creationId xmlns:a16="http://schemas.microsoft.com/office/drawing/2014/main" id="{D179A3D1-8E53-4AA3-B016-50D9F7CBBDF0}"/>
            </a:ext>
          </a:extLst>
        </xdr:cNvPr>
        <xdr:cNvSpPr>
          <a:spLocks noChangeShapeType="1"/>
        </xdr:cNvSpPr>
      </xdr:nvSpPr>
      <xdr:spPr bwMode="auto">
        <a:xfrm>
          <a:off x="2745740" y="331724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22</xdr:row>
      <xdr:rowOff>139700</xdr:rowOff>
    </xdr:from>
    <xdr:to>
      <xdr:col>20</xdr:col>
      <xdr:colOff>31750</xdr:colOff>
      <xdr:row>22</xdr:row>
      <xdr:rowOff>139700</xdr:rowOff>
    </xdr:to>
    <xdr:sp macro="" textlink="">
      <xdr:nvSpPr>
        <xdr:cNvPr id="34" name="Line 61">
          <a:extLst>
            <a:ext uri="{FF2B5EF4-FFF2-40B4-BE49-F238E27FC236}">
              <a16:creationId xmlns:a16="http://schemas.microsoft.com/office/drawing/2014/main" id="{75A7F5F8-D9C8-4F66-9E15-320B21A9DEAB}"/>
            </a:ext>
          </a:extLst>
        </xdr:cNvPr>
        <xdr:cNvSpPr>
          <a:spLocks noChangeShapeType="1"/>
        </xdr:cNvSpPr>
      </xdr:nvSpPr>
      <xdr:spPr bwMode="auto">
        <a:xfrm>
          <a:off x="2745740" y="382016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25</xdr:row>
      <xdr:rowOff>76200</xdr:rowOff>
    </xdr:from>
    <xdr:to>
      <xdr:col>20</xdr:col>
      <xdr:colOff>31750</xdr:colOff>
      <xdr:row>25</xdr:row>
      <xdr:rowOff>76200</xdr:rowOff>
    </xdr:to>
    <xdr:sp macro="" textlink="">
      <xdr:nvSpPr>
        <xdr:cNvPr id="35" name="Line 62">
          <a:extLst>
            <a:ext uri="{FF2B5EF4-FFF2-40B4-BE49-F238E27FC236}">
              <a16:creationId xmlns:a16="http://schemas.microsoft.com/office/drawing/2014/main" id="{A6C78F1D-EBC1-4409-A813-E2620A9CE67E}"/>
            </a:ext>
          </a:extLst>
        </xdr:cNvPr>
        <xdr:cNvSpPr>
          <a:spLocks noChangeShapeType="1"/>
        </xdr:cNvSpPr>
      </xdr:nvSpPr>
      <xdr:spPr bwMode="auto">
        <a:xfrm>
          <a:off x="2745740" y="425958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28</xdr:row>
      <xdr:rowOff>19050</xdr:rowOff>
    </xdr:from>
    <xdr:to>
      <xdr:col>20</xdr:col>
      <xdr:colOff>31750</xdr:colOff>
      <xdr:row>28</xdr:row>
      <xdr:rowOff>19050</xdr:rowOff>
    </xdr:to>
    <xdr:sp macro="" textlink="">
      <xdr:nvSpPr>
        <xdr:cNvPr id="36" name="Line 63">
          <a:extLst>
            <a:ext uri="{FF2B5EF4-FFF2-40B4-BE49-F238E27FC236}">
              <a16:creationId xmlns:a16="http://schemas.microsoft.com/office/drawing/2014/main" id="{FFBFD365-2DBA-4784-9CEF-0488A31DC41B}"/>
            </a:ext>
          </a:extLst>
        </xdr:cNvPr>
        <xdr:cNvSpPr>
          <a:spLocks noChangeShapeType="1"/>
        </xdr:cNvSpPr>
      </xdr:nvSpPr>
      <xdr:spPr bwMode="auto">
        <a:xfrm>
          <a:off x="2745740" y="470535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30</xdr:row>
      <xdr:rowOff>133350</xdr:rowOff>
    </xdr:from>
    <xdr:to>
      <xdr:col>20</xdr:col>
      <xdr:colOff>31750</xdr:colOff>
      <xdr:row>30</xdr:row>
      <xdr:rowOff>133350</xdr:rowOff>
    </xdr:to>
    <xdr:sp macro="" textlink="">
      <xdr:nvSpPr>
        <xdr:cNvPr id="37" name="Line 64">
          <a:extLst>
            <a:ext uri="{FF2B5EF4-FFF2-40B4-BE49-F238E27FC236}">
              <a16:creationId xmlns:a16="http://schemas.microsoft.com/office/drawing/2014/main" id="{E2135B55-B9AD-46EF-9F15-E733568D019C}"/>
            </a:ext>
          </a:extLst>
        </xdr:cNvPr>
        <xdr:cNvSpPr>
          <a:spLocks noChangeShapeType="1"/>
        </xdr:cNvSpPr>
      </xdr:nvSpPr>
      <xdr:spPr bwMode="auto">
        <a:xfrm>
          <a:off x="2745740" y="515493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33</xdr:row>
      <xdr:rowOff>101600</xdr:rowOff>
    </xdr:from>
    <xdr:to>
      <xdr:col>20</xdr:col>
      <xdr:colOff>31750</xdr:colOff>
      <xdr:row>33</xdr:row>
      <xdr:rowOff>101600</xdr:rowOff>
    </xdr:to>
    <xdr:sp macro="" textlink="">
      <xdr:nvSpPr>
        <xdr:cNvPr id="38" name="Line 65">
          <a:extLst>
            <a:ext uri="{FF2B5EF4-FFF2-40B4-BE49-F238E27FC236}">
              <a16:creationId xmlns:a16="http://schemas.microsoft.com/office/drawing/2014/main" id="{3BAF4A9C-5B78-4F0C-BF51-413E188BEDBE}"/>
            </a:ext>
          </a:extLst>
        </xdr:cNvPr>
        <xdr:cNvSpPr>
          <a:spLocks noChangeShapeType="1"/>
        </xdr:cNvSpPr>
      </xdr:nvSpPr>
      <xdr:spPr bwMode="auto">
        <a:xfrm>
          <a:off x="2745740" y="562610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14</xdr:row>
      <xdr:rowOff>82550</xdr:rowOff>
    </xdr:from>
    <xdr:to>
      <xdr:col>20</xdr:col>
      <xdr:colOff>31750</xdr:colOff>
      <xdr:row>14</xdr:row>
      <xdr:rowOff>82550</xdr:rowOff>
    </xdr:to>
    <xdr:sp macro="" textlink="">
      <xdr:nvSpPr>
        <xdr:cNvPr id="39" name="Line 67">
          <a:extLst>
            <a:ext uri="{FF2B5EF4-FFF2-40B4-BE49-F238E27FC236}">
              <a16:creationId xmlns:a16="http://schemas.microsoft.com/office/drawing/2014/main" id="{C342CEC9-08BD-4247-9A90-9D715E84B236}"/>
            </a:ext>
          </a:extLst>
        </xdr:cNvPr>
        <xdr:cNvSpPr>
          <a:spLocks noChangeShapeType="1"/>
        </xdr:cNvSpPr>
      </xdr:nvSpPr>
      <xdr:spPr bwMode="auto">
        <a:xfrm>
          <a:off x="2745740" y="2421890"/>
          <a:ext cx="181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50800</xdr:colOff>
      <xdr:row>16</xdr:row>
      <xdr:rowOff>38100</xdr:rowOff>
    </xdr:from>
    <xdr:to>
      <xdr:col>23</xdr:col>
      <xdr:colOff>158750</xdr:colOff>
      <xdr:row>18</xdr:row>
      <xdr:rowOff>76200</xdr:rowOff>
    </xdr:to>
    <xdr:sp macro="" textlink="">
      <xdr:nvSpPr>
        <xdr:cNvPr id="40" name="Rectangle 82">
          <a:extLst>
            <a:ext uri="{FF2B5EF4-FFF2-40B4-BE49-F238E27FC236}">
              <a16:creationId xmlns:a16="http://schemas.microsoft.com/office/drawing/2014/main" id="{8CAECC85-61C8-4326-80F2-6EEEBD74450B}"/>
            </a:ext>
          </a:extLst>
        </xdr:cNvPr>
        <xdr:cNvSpPr>
          <a:spLocks noChangeArrowheads="1"/>
        </xdr:cNvSpPr>
      </xdr:nvSpPr>
      <xdr:spPr bwMode="auto">
        <a:xfrm>
          <a:off x="2801620" y="2712720"/>
          <a:ext cx="70993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57150</xdr:colOff>
      <xdr:row>18</xdr:row>
      <xdr:rowOff>120650</xdr:rowOff>
    </xdr:from>
    <xdr:to>
      <xdr:col>24</xdr:col>
      <xdr:colOff>0</xdr:colOff>
      <xdr:row>21</xdr:row>
      <xdr:rowOff>0</xdr:rowOff>
    </xdr:to>
    <xdr:sp macro="" textlink="">
      <xdr:nvSpPr>
        <xdr:cNvPr id="41" name="Rectangle 83">
          <a:extLst>
            <a:ext uri="{FF2B5EF4-FFF2-40B4-BE49-F238E27FC236}">
              <a16:creationId xmlns:a16="http://schemas.microsoft.com/office/drawing/2014/main" id="{D4FB32B7-8039-4528-BC94-04F3F91AF246}"/>
            </a:ext>
          </a:extLst>
        </xdr:cNvPr>
        <xdr:cNvSpPr>
          <a:spLocks noChangeArrowheads="1"/>
        </xdr:cNvSpPr>
      </xdr:nvSpPr>
      <xdr:spPr bwMode="auto">
        <a:xfrm>
          <a:off x="2807970" y="3130550"/>
          <a:ext cx="712470" cy="3822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57150</xdr:colOff>
      <xdr:row>21</xdr:row>
      <xdr:rowOff>82550</xdr:rowOff>
    </xdr:from>
    <xdr:to>
      <xdr:col>24</xdr:col>
      <xdr:colOff>0</xdr:colOff>
      <xdr:row>23</xdr:row>
      <xdr:rowOff>120650</xdr:rowOff>
    </xdr:to>
    <xdr:sp macro="" textlink="">
      <xdr:nvSpPr>
        <xdr:cNvPr id="42" name="Rectangle 85">
          <a:extLst>
            <a:ext uri="{FF2B5EF4-FFF2-40B4-BE49-F238E27FC236}">
              <a16:creationId xmlns:a16="http://schemas.microsoft.com/office/drawing/2014/main" id="{7FC53111-58A6-4119-B0BE-8A8BDC2EC9C4}"/>
            </a:ext>
          </a:extLst>
        </xdr:cNvPr>
        <xdr:cNvSpPr>
          <a:spLocks noChangeArrowheads="1"/>
        </xdr:cNvSpPr>
      </xdr:nvSpPr>
      <xdr:spPr bwMode="auto">
        <a:xfrm>
          <a:off x="2807970" y="3595370"/>
          <a:ext cx="71247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57150</xdr:colOff>
      <xdr:row>29</xdr:row>
      <xdr:rowOff>120650</xdr:rowOff>
    </xdr:from>
    <xdr:to>
      <xdr:col>24</xdr:col>
      <xdr:colOff>0</xdr:colOff>
      <xdr:row>32</xdr:row>
      <xdr:rowOff>0</xdr:rowOff>
    </xdr:to>
    <xdr:sp macro="" textlink="">
      <xdr:nvSpPr>
        <xdr:cNvPr id="43" name="Rectangle 86">
          <a:extLst>
            <a:ext uri="{FF2B5EF4-FFF2-40B4-BE49-F238E27FC236}">
              <a16:creationId xmlns:a16="http://schemas.microsoft.com/office/drawing/2014/main" id="{6819F013-1790-4232-9261-0A66DCC80D1A}"/>
            </a:ext>
          </a:extLst>
        </xdr:cNvPr>
        <xdr:cNvSpPr>
          <a:spLocks noChangeArrowheads="1"/>
        </xdr:cNvSpPr>
      </xdr:nvSpPr>
      <xdr:spPr bwMode="auto">
        <a:xfrm>
          <a:off x="2807970" y="4974590"/>
          <a:ext cx="712470" cy="3822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57150</xdr:colOff>
      <xdr:row>27</xdr:row>
      <xdr:rowOff>6350</xdr:rowOff>
    </xdr:from>
    <xdr:to>
      <xdr:col>24</xdr:col>
      <xdr:colOff>0</xdr:colOff>
      <xdr:row>29</xdr:row>
      <xdr:rowOff>44450</xdr:rowOff>
    </xdr:to>
    <xdr:sp macro="" textlink="">
      <xdr:nvSpPr>
        <xdr:cNvPr id="44" name="Rectangle 87">
          <a:extLst>
            <a:ext uri="{FF2B5EF4-FFF2-40B4-BE49-F238E27FC236}">
              <a16:creationId xmlns:a16="http://schemas.microsoft.com/office/drawing/2014/main" id="{8BAB9DE2-C3C8-45D7-99A2-1B9144B10BC1}"/>
            </a:ext>
          </a:extLst>
        </xdr:cNvPr>
        <xdr:cNvSpPr>
          <a:spLocks noChangeArrowheads="1"/>
        </xdr:cNvSpPr>
      </xdr:nvSpPr>
      <xdr:spPr bwMode="auto">
        <a:xfrm>
          <a:off x="2807970" y="4525010"/>
          <a:ext cx="71247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57150</xdr:colOff>
      <xdr:row>32</xdr:row>
      <xdr:rowOff>95250</xdr:rowOff>
    </xdr:from>
    <xdr:to>
      <xdr:col>24</xdr:col>
      <xdr:colOff>0</xdr:colOff>
      <xdr:row>34</xdr:row>
      <xdr:rowOff>133350</xdr:rowOff>
    </xdr:to>
    <xdr:sp macro="" textlink="">
      <xdr:nvSpPr>
        <xdr:cNvPr id="45" name="Rectangle 88">
          <a:extLst>
            <a:ext uri="{FF2B5EF4-FFF2-40B4-BE49-F238E27FC236}">
              <a16:creationId xmlns:a16="http://schemas.microsoft.com/office/drawing/2014/main" id="{E8114F41-1646-460F-84CA-791D9EF918ED}"/>
            </a:ext>
          </a:extLst>
        </xdr:cNvPr>
        <xdr:cNvSpPr>
          <a:spLocks noChangeArrowheads="1"/>
        </xdr:cNvSpPr>
      </xdr:nvSpPr>
      <xdr:spPr bwMode="auto">
        <a:xfrm>
          <a:off x="2807970" y="5452110"/>
          <a:ext cx="71247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50800</xdr:colOff>
      <xdr:row>24</xdr:row>
      <xdr:rowOff>44450</xdr:rowOff>
    </xdr:from>
    <xdr:to>
      <xdr:col>23</xdr:col>
      <xdr:colOff>158750</xdr:colOff>
      <xdr:row>26</xdr:row>
      <xdr:rowOff>82550</xdr:rowOff>
    </xdr:to>
    <xdr:sp macro="" textlink="">
      <xdr:nvSpPr>
        <xdr:cNvPr id="46" name="Rectangle 89">
          <a:extLst>
            <a:ext uri="{FF2B5EF4-FFF2-40B4-BE49-F238E27FC236}">
              <a16:creationId xmlns:a16="http://schemas.microsoft.com/office/drawing/2014/main" id="{E566C26C-D8CE-4F0F-9152-040052925DC2}"/>
            </a:ext>
          </a:extLst>
        </xdr:cNvPr>
        <xdr:cNvSpPr>
          <a:spLocks noChangeArrowheads="1"/>
        </xdr:cNvSpPr>
      </xdr:nvSpPr>
      <xdr:spPr bwMode="auto">
        <a:xfrm>
          <a:off x="2801620" y="4060190"/>
          <a:ext cx="70993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139700</xdr:colOff>
      <xdr:row>14</xdr:row>
      <xdr:rowOff>95250</xdr:rowOff>
    </xdr:from>
    <xdr:to>
      <xdr:col>18</xdr:col>
      <xdr:colOff>139700</xdr:colOff>
      <xdr:row>33</xdr:row>
      <xdr:rowOff>95250</xdr:rowOff>
    </xdr:to>
    <xdr:sp macro="" textlink="">
      <xdr:nvSpPr>
        <xdr:cNvPr id="47" name="Line 90">
          <a:extLst>
            <a:ext uri="{FF2B5EF4-FFF2-40B4-BE49-F238E27FC236}">
              <a16:creationId xmlns:a16="http://schemas.microsoft.com/office/drawing/2014/main" id="{786A1266-D5F7-40C1-904D-44511261812D}"/>
            </a:ext>
          </a:extLst>
        </xdr:cNvPr>
        <xdr:cNvSpPr>
          <a:spLocks noChangeShapeType="1"/>
        </xdr:cNvSpPr>
      </xdr:nvSpPr>
      <xdr:spPr bwMode="auto">
        <a:xfrm>
          <a:off x="2745740" y="2434590"/>
          <a:ext cx="0" cy="3185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69850</xdr:colOff>
      <xdr:row>14</xdr:row>
      <xdr:rowOff>114300</xdr:rowOff>
    </xdr:from>
    <xdr:to>
      <xdr:col>23</xdr:col>
      <xdr:colOff>107950</xdr:colOff>
      <xdr:row>14</xdr:row>
      <xdr:rowOff>114300</xdr:rowOff>
    </xdr:to>
    <xdr:sp macro="" textlink="">
      <xdr:nvSpPr>
        <xdr:cNvPr id="48" name="Line 111">
          <a:extLst>
            <a:ext uri="{FF2B5EF4-FFF2-40B4-BE49-F238E27FC236}">
              <a16:creationId xmlns:a16="http://schemas.microsoft.com/office/drawing/2014/main" id="{37993D7A-B383-40CD-8BAE-320A99A2432A}"/>
            </a:ext>
          </a:extLst>
        </xdr:cNvPr>
        <xdr:cNvSpPr>
          <a:spLocks noChangeShapeType="1"/>
        </xdr:cNvSpPr>
      </xdr:nvSpPr>
      <xdr:spPr bwMode="auto">
        <a:xfrm>
          <a:off x="3255010" y="2453640"/>
          <a:ext cx="205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57150</xdr:colOff>
      <xdr:row>25</xdr:row>
      <xdr:rowOff>101600</xdr:rowOff>
    </xdr:from>
    <xdr:to>
      <xdr:col>24</xdr:col>
      <xdr:colOff>158750</xdr:colOff>
      <xdr:row>25</xdr:row>
      <xdr:rowOff>101600</xdr:rowOff>
    </xdr:to>
    <xdr:sp macro="" textlink="">
      <xdr:nvSpPr>
        <xdr:cNvPr id="49" name="Line 112">
          <a:extLst>
            <a:ext uri="{FF2B5EF4-FFF2-40B4-BE49-F238E27FC236}">
              <a16:creationId xmlns:a16="http://schemas.microsoft.com/office/drawing/2014/main" id="{DFC6014F-88BD-4ACF-8321-5B32A67FF572}"/>
            </a:ext>
          </a:extLst>
        </xdr:cNvPr>
        <xdr:cNvSpPr>
          <a:spLocks noChangeShapeType="1"/>
        </xdr:cNvSpPr>
      </xdr:nvSpPr>
      <xdr:spPr bwMode="auto">
        <a:xfrm>
          <a:off x="3577590" y="4284980"/>
          <a:ext cx="101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139700</xdr:colOff>
      <xdr:row>14</xdr:row>
      <xdr:rowOff>95250</xdr:rowOff>
    </xdr:from>
    <xdr:to>
      <xdr:col>18</xdr:col>
      <xdr:colOff>139700</xdr:colOff>
      <xdr:row>22</xdr:row>
      <xdr:rowOff>101600</xdr:rowOff>
    </xdr:to>
    <xdr:sp macro="" textlink="">
      <xdr:nvSpPr>
        <xdr:cNvPr id="50" name="Line 113">
          <a:extLst>
            <a:ext uri="{FF2B5EF4-FFF2-40B4-BE49-F238E27FC236}">
              <a16:creationId xmlns:a16="http://schemas.microsoft.com/office/drawing/2014/main" id="{C2D46D2E-AE6A-43DB-BB6E-56497C84240E}"/>
            </a:ext>
          </a:extLst>
        </xdr:cNvPr>
        <xdr:cNvSpPr>
          <a:spLocks noChangeShapeType="1"/>
        </xdr:cNvSpPr>
      </xdr:nvSpPr>
      <xdr:spPr bwMode="auto">
        <a:xfrm flipH="1">
          <a:off x="2745740" y="2434590"/>
          <a:ext cx="0" cy="134747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127000</xdr:colOff>
      <xdr:row>14</xdr:row>
      <xdr:rowOff>95250</xdr:rowOff>
    </xdr:from>
    <xdr:to>
      <xdr:col>20</xdr:col>
      <xdr:colOff>31750</xdr:colOff>
      <xdr:row>14</xdr:row>
      <xdr:rowOff>95250</xdr:rowOff>
    </xdr:to>
    <xdr:sp macro="" textlink="">
      <xdr:nvSpPr>
        <xdr:cNvPr id="51" name="Line 114">
          <a:extLst>
            <a:ext uri="{FF2B5EF4-FFF2-40B4-BE49-F238E27FC236}">
              <a16:creationId xmlns:a16="http://schemas.microsoft.com/office/drawing/2014/main" id="{305AEB09-9CB7-45AA-B945-21A77659CA94}"/>
            </a:ext>
          </a:extLst>
        </xdr:cNvPr>
        <xdr:cNvSpPr>
          <a:spLocks noChangeShapeType="1"/>
        </xdr:cNvSpPr>
      </xdr:nvSpPr>
      <xdr:spPr bwMode="auto">
        <a:xfrm>
          <a:off x="2733040" y="2434590"/>
          <a:ext cx="19431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69850</xdr:colOff>
      <xdr:row>14</xdr:row>
      <xdr:rowOff>114300</xdr:rowOff>
    </xdr:from>
    <xdr:to>
      <xdr:col>23</xdr:col>
      <xdr:colOff>107950</xdr:colOff>
      <xdr:row>14</xdr:row>
      <xdr:rowOff>114300</xdr:rowOff>
    </xdr:to>
    <xdr:sp macro="" textlink="">
      <xdr:nvSpPr>
        <xdr:cNvPr id="52" name="Line 115">
          <a:extLst>
            <a:ext uri="{FF2B5EF4-FFF2-40B4-BE49-F238E27FC236}">
              <a16:creationId xmlns:a16="http://schemas.microsoft.com/office/drawing/2014/main" id="{5152A08D-0531-472D-8CD9-826F532CDA91}"/>
            </a:ext>
          </a:extLst>
        </xdr:cNvPr>
        <xdr:cNvSpPr>
          <a:spLocks noChangeShapeType="1"/>
        </xdr:cNvSpPr>
      </xdr:nvSpPr>
      <xdr:spPr bwMode="auto">
        <a:xfrm>
          <a:off x="3255010" y="245364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14</xdr:row>
      <xdr:rowOff>114300</xdr:rowOff>
    </xdr:from>
    <xdr:to>
      <xdr:col>24</xdr:col>
      <xdr:colOff>69850</xdr:colOff>
      <xdr:row>25</xdr:row>
      <xdr:rowOff>114300</xdr:rowOff>
    </xdr:to>
    <xdr:sp macro="" textlink="">
      <xdr:nvSpPr>
        <xdr:cNvPr id="53" name="Line 116">
          <a:extLst>
            <a:ext uri="{FF2B5EF4-FFF2-40B4-BE49-F238E27FC236}">
              <a16:creationId xmlns:a16="http://schemas.microsoft.com/office/drawing/2014/main" id="{9353708F-C629-4C74-84D8-E9DCDE6713BF}"/>
            </a:ext>
          </a:extLst>
        </xdr:cNvPr>
        <xdr:cNvSpPr>
          <a:spLocks noChangeShapeType="1"/>
        </xdr:cNvSpPr>
      </xdr:nvSpPr>
      <xdr:spPr bwMode="auto">
        <a:xfrm flipH="1">
          <a:off x="3590290" y="2453640"/>
          <a:ext cx="0" cy="18440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19</xdr:row>
      <xdr:rowOff>38100</xdr:rowOff>
    </xdr:from>
    <xdr:to>
      <xdr:col>26</xdr:col>
      <xdr:colOff>38100</xdr:colOff>
      <xdr:row>19</xdr:row>
      <xdr:rowOff>38100</xdr:rowOff>
    </xdr:to>
    <xdr:sp macro="" textlink="">
      <xdr:nvSpPr>
        <xdr:cNvPr id="54" name="Line 92">
          <a:extLst>
            <a:ext uri="{FF2B5EF4-FFF2-40B4-BE49-F238E27FC236}">
              <a16:creationId xmlns:a16="http://schemas.microsoft.com/office/drawing/2014/main" id="{D128439C-6A2C-4F28-81B9-CC6E5CE360D6}"/>
            </a:ext>
          </a:extLst>
        </xdr:cNvPr>
        <xdr:cNvSpPr>
          <a:spLocks noChangeShapeType="1"/>
        </xdr:cNvSpPr>
      </xdr:nvSpPr>
      <xdr:spPr bwMode="auto">
        <a:xfrm>
          <a:off x="3679190" y="321564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21</xdr:row>
      <xdr:rowOff>133350</xdr:rowOff>
    </xdr:from>
    <xdr:to>
      <xdr:col>26</xdr:col>
      <xdr:colOff>38100</xdr:colOff>
      <xdr:row>21</xdr:row>
      <xdr:rowOff>133350</xdr:rowOff>
    </xdr:to>
    <xdr:sp macro="" textlink="">
      <xdr:nvSpPr>
        <xdr:cNvPr id="55" name="Line 93">
          <a:extLst>
            <a:ext uri="{FF2B5EF4-FFF2-40B4-BE49-F238E27FC236}">
              <a16:creationId xmlns:a16="http://schemas.microsoft.com/office/drawing/2014/main" id="{A1A3BB45-8A98-47A3-8620-8AD1DEFBD438}"/>
            </a:ext>
          </a:extLst>
        </xdr:cNvPr>
        <xdr:cNvSpPr>
          <a:spLocks noChangeShapeType="1"/>
        </xdr:cNvSpPr>
      </xdr:nvSpPr>
      <xdr:spPr bwMode="auto">
        <a:xfrm>
          <a:off x="3679190" y="364617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25</xdr:row>
      <xdr:rowOff>0</xdr:rowOff>
    </xdr:from>
    <xdr:to>
      <xdr:col>26</xdr:col>
      <xdr:colOff>38100</xdr:colOff>
      <xdr:row>25</xdr:row>
      <xdr:rowOff>0</xdr:rowOff>
    </xdr:to>
    <xdr:sp macro="" textlink="">
      <xdr:nvSpPr>
        <xdr:cNvPr id="56" name="Line 94">
          <a:extLst>
            <a:ext uri="{FF2B5EF4-FFF2-40B4-BE49-F238E27FC236}">
              <a16:creationId xmlns:a16="http://schemas.microsoft.com/office/drawing/2014/main" id="{5206E932-B7CD-4C8B-96CB-F3858A396D0D}"/>
            </a:ext>
          </a:extLst>
        </xdr:cNvPr>
        <xdr:cNvSpPr>
          <a:spLocks noChangeShapeType="1"/>
        </xdr:cNvSpPr>
      </xdr:nvSpPr>
      <xdr:spPr bwMode="auto">
        <a:xfrm>
          <a:off x="3679190" y="418338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28</xdr:row>
      <xdr:rowOff>0</xdr:rowOff>
    </xdr:from>
    <xdr:to>
      <xdr:col>26</xdr:col>
      <xdr:colOff>38100</xdr:colOff>
      <xdr:row>28</xdr:row>
      <xdr:rowOff>0</xdr:rowOff>
    </xdr:to>
    <xdr:sp macro="" textlink="">
      <xdr:nvSpPr>
        <xdr:cNvPr id="57" name="Line 95">
          <a:extLst>
            <a:ext uri="{FF2B5EF4-FFF2-40B4-BE49-F238E27FC236}">
              <a16:creationId xmlns:a16="http://schemas.microsoft.com/office/drawing/2014/main" id="{08261E56-B65F-4A3F-9F1F-090557C23167}"/>
            </a:ext>
          </a:extLst>
        </xdr:cNvPr>
        <xdr:cNvSpPr>
          <a:spLocks noChangeShapeType="1"/>
        </xdr:cNvSpPr>
      </xdr:nvSpPr>
      <xdr:spPr bwMode="auto">
        <a:xfrm>
          <a:off x="3679190" y="468630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30</xdr:row>
      <xdr:rowOff>152400</xdr:rowOff>
    </xdr:from>
    <xdr:to>
      <xdr:col>26</xdr:col>
      <xdr:colOff>38100</xdr:colOff>
      <xdr:row>30</xdr:row>
      <xdr:rowOff>152400</xdr:rowOff>
    </xdr:to>
    <xdr:sp macro="" textlink="">
      <xdr:nvSpPr>
        <xdr:cNvPr id="58" name="Line 96">
          <a:extLst>
            <a:ext uri="{FF2B5EF4-FFF2-40B4-BE49-F238E27FC236}">
              <a16:creationId xmlns:a16="http://schemas.microsoft.com/office/drawing/2014/main" id="{DC3F0A9E-35CA-4011-82AA-132A23BF5D60}"/>
            </a:ext>
          </a:extLst>
        </xdr:cNvPr>
        <xdr:cNvSpPr>
          <a:spLocks noChangeShapeType="1"/>
        </xdr:cNvSpPr>
      </xdr:nvSpPr>
      <xdr:spPr bwMode="auto">
        <a:xfrm>
          <a:off x="3679190" y="517398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33</xdr:row>
      <xdr:rowOff>139700</xdr:rowOff>
    </xdr:from>
    <xdr:to>
      <xdr:col>26</xdr:col>
      <xdr:colOff>38100</xdr:colOff>
      <xdr:row>33</xdr:row>
      <xdr:rowOff>139700</xdr:rowOff>
    </xdr:to>
    <xdr:sp macro="" textlink="">
      <xdr:nvSpPr>
        <xdr:cNvPr id="59" name="Line 97">
          <a:extLst>
            <a:ext uri="{FF2B5EF4-FFF2-40B4-BE49-F238E27FC236}">
              <a16:creationId xmlns:a16="http://schemas.microsoft.com/office/drawing/2014/main" id="{7DAE79E2-8A02-4A0D-90B2-2BD1055091FA}"/>
            </a:ext>
          </a:extLst>
        </xdr:cNvPr>
        <xdr:cNvSpPr>
          <a:spLocks noChangeShapeType="1"/>
        </xdr:cNvSpPr>
      </xdr:nvSpPr>
      <xdr:spPr bwMode="auto">
        <a:xfrm>
          <a:off x="3679190" y="566420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36</xdr:row>
      <xdr:rowOff>127000</xdr:rowOff>
    </xdr:from>
    <xdr:to>
      <xdr:col>26</xdr:col>
      <xdr:colOff>38100</xdr:colOff>
      <xdr:row>36</xdr:row>
      <xdr:rowOff>127000</xdr:rowOff>
    </xdr:to>
    <xdr:sp macro="" textlink="">
      <xdr:nvSpPr>
        <xdr:cNvPr id="60" name="Line 98">
          <a:extLst>
            <a:ext uri="{FF2B5EF4-FFF2-40B4-BE49-F238E27FC236}">
              <a16:creationId xmlns:a16="http://schemas.microsoft.com/office/drawing/2014/main" id="{54FB726F-DC55-44B6-B4D7-E9A35215593B}"/>
            </a:ext>
          </a:extLst>
        </xdr:cNvPr>
        <xdr:cNvSpPr>
          <a:spLocks noChangeShapeType="1"/>
        </xdr:cNvSpPr>
      </xdr:nvSpPr>
      <xdr:spPr bwMode="auto">
        <a:xfrm>
          <a:off x="3679190" y="615442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158750</xdr:colOff>
      <xdr:row>16</xdr:row>
      <xdr:rowOff>19050</xdr:rowOff>
    </xdr:from>
    <xdr:to>
      <xdr:col>26</xdr:col>
      <xdr:colOff>38100</xdr:colOff>
      <xdr:row>16</xdr:row>
      <xdr:rowOff>19050</xdr:rowOff>
    </xdr:to>
    <xdr:sp macro="" textlink="">
      <xdr:nvSpPr>
        <xdr:cNvPr id="61" name="Line 99">
          <a:extLst>
            <a:ext uri="{FF2B5EF4-FFF2-40B4-BE49-F238E27FC236}">
              <a16:creationId xmlns:a16="http://schemas.microsoft.com/office/drawing/2014/main" id="{0F628EEA-1E21-467F-94EA-51776B981D34}"/>
            </a:ext>
          </a:extLst>
        </xdr:cNvPr>
        <xdr:cNvSpPr>
          <a:spLocks noChangeShapeType="1"/>
        </xdr:cNvSpPr>
      </xdr:nvSpPr>
      <xdr:spPr bwMode="auto">
        <a:xfrm>
          <a:off x="3679190" y="2693670"/>
          <a:ext cx="1917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50800</xdr:colOff>
      <xdr:row>17</xdr:row>
      <xdr:rowOff>152400</xdr:rowOff>
    </xdr:from>
    <xdr:to>
      <xdr:col>31</xdr:col>
      <xdr:colOff>0</xdr:colOff>
      <xdr:row>20</xdr:row>
      <xdr:rowOff>44450</xdr:rowOff>
    </xdr:to>
    <xdr:sp macro="" textlink="">
      <xdr:nvSpPr>
        <xdr:cNvPr id="62" name="Rectangle 101">
          <a:extLst>
            <a:ext uri="{FF2B5EF4-FFF2-40B4-BE49-F238E27FC236}">
              <a16:creationId xmlns:a16="http://schemas.microsoft.com/office/drawing/2014/main" id="{956553F2-67CB-400D-B60C-3B7F02B43328}"/>
            </a:ext>
          </a:extLst>
        </xdr:cNvPr>
        <xdr:cNvSpPr>
          <a:spLocks noChangeArrowheads="1"/>
        </xdr:cNvSpPr>
      </xdr:nvSpPr>
      <xdr:spPr bwMode="auto">
        <a:xfrm>
          <a:off x="3738880" y="2994660"/>
          <a:ext cx="817880" cy="3949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57150</xdr:colOff>
      <xdr:row>23</xdr:row>
      <xdr:rowOff>133350</xdr:rowOff>
    </xdr:from>
    <xdr:to>
      <xdr:col>31</xdr:col>
      <xdr:colOff>19050</xdr:colOff>
      <xdr:row>26</xdr:row>
      <xdr:rowOff>38100</xdr:rowOff>
    </xdr:to>
    <xdr:sp macro="" textlink="">
      <xdr:nvSpPr>
        <xdr:cNvPr id="63" name="Rectangle 102">
          <a:extLst>
            <a:ext uri="{FF2B5EF4-FFF2-40B4-BE49-F238E27FC236}">
              <a16:creationId xmlns:a16="http://schemas.microsoft.com/office/drawing/2014/main" id="{AC71824C-166E-4BD4-A078-47B994EBEFAB}"/>
            </a:ext>
          </a:extLst>
        </xdr:cNvPr>
        <xdr:cNvSpPr>
          <a:spLocks noChangeArrowheads="1"/>
        </xdr:cNvSpPr>
      </xdr:nvSpPr>
      <xdr:spPr bwMode="auto">
        <a:xfrm>
          <a:off x="3745230" y="3981450"/>
          <a:ext cx="830580" cy="4076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57150</xdr:colOff>
      <xdr:row>26</xdr:row>
      <xdr:rowOff>120650</xdr:rowOff>
    </xdr:from>
    <xdr:to>
      <xdr:col>31</xdr:col>
      <xdr:colOff>19050</xdr:colOff>
      <xdr:row>29</xdr:row>
      <xdr:rowOff>25400</xdr:rowOff>
    </xdr:to>
    <xdr:sp macro="" textlink="">
      <xdr:nvSpPr>
        <xdr:cNvPr id="64" name="Rectangle 104">
          <a:extLst>
            <a:ext uri="{FF2B5EF4-FFF2-40B4-BE49-F238E27FC236}">
              <a16:creationId xmlns:a16="http://schemas.microsoft.com/office/drawing/2014/main" id="{C0816A30-08D6-4F7C-A08D-B59C592764CC}"/>
            </a:ext>
          </a:extLst>
        </xdr:cNvPr>
        <xdr:cNvSpPr>
          <a:spLocks noChangeArrowheads="1"/>
        </xdr:cNvSpPr>
      </xdr:nvSpPr>
      <xdr:spPr bwMode="auto">
        <a:xfrm>
          <a:off x="3745230" y="4471670"/>
          <a:ext cx="830580" cy="4076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82550</xdr:colOff>
      <xdr:row>35</xdr:row>
      <xdr:rowOff>82550</xdr:rowOff>
    </xdr:from>
    <xdr:to>
      <xdr:col>31</xdr:col>
      <xdr:colOff>38100</xdr:colOff>
      <xdr:row>37</xdr:row>
      <xdr:rowOff>152400</xdr:rowOff>
    </xdr:to>
    <xdr:sp macro="" textlink="">
      <xdr:nvSpPr>
        <xdr:cNvPr id="65" name="Rectangle 105">
          <a:extLst>
            <a:ext uri="{FF2B5EF4-FFF2-40B4-BE49-F238E27FC236}">
              <a16:creationId xmlns:a16="http://schemas.microsoft.com/office/drawing/2014/main" id="{583146B0-2F4E-4EB4-B946-1E96826D3C6B}"/>
            </a:ext>
          </a:extLst>
        </xdr:cNvPr>
        <xdr:cNvSpPr>
          <a:spLocks noChangeArrowheads="1"/>
        </xdr:cNvSpPr>
      </xdr:nvSpPr>
      <xdr:spPr bwMode="auto">
        <a:xfrm>
          <a:off x="3770630" y="5942330"/>
          <a:ext cx="824230" cy="4051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57150</xdr:colOff>
      <xdr:row>32</xdr:row>
      <xdr:rowOff>95250</xdr:rowOff>
    </xdr:from>
    <xdr:to>
      <xdr:col>31</xdr:col>
      <xdr:colOff>19050</xdr:colOff>
      <xdr:row>35</xdr:row>
      <xdr:rowOff>0</xdr:rowOff>
    </xdr:to>
    <xdr:sp macro="" textlink="">
      <xdr:nvSpPr>
        <xdr:cNvPr id="66" name="Rectangle 106">
          <a:extLst>
            <a:ext uri="{FF2B5EF4-FFF2-40B4-BE49-F238E27FC236}">
              <a16:creationId xmlns:a16="http://schemas.microsoft.com/office/drawing/2014/main" id="{44AF2C65-28E4-42B3-8EBF-71DDD0D0C1B7}"/>
            </a:ext>
          </a:extLst>
        </xdr:cNvPr>
        <xdr:cNvSpPr>
          <a:spLocks noChangeArrowheads="1"/>
        </xdr:cNvSpPr>
      </xdr:nvSpPr>
      <xdr:spPr bwMode="auto">
        <a:xfrm>
          <a:off x="3745230" y="5452110"/>
          <a:ext cx="830580" cy="4076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158750</xdr:colOff>
      <xdr:row>16</xdr:row>
      <xdr:rowOff>19050</xdr:rowOff>
    </xdr:from>
    <xdr:to>
      <xdr:col>24</xdr:col>
      <xdr:colOff>158750</xdr:colOff>
      <xdr:row>36</xdr:row>
      <xdr:rowOff>127000</xdr:rowOff>
    </xdr:to>
    <xdr:sp macro="" textlink="">
      <xdr:nvSpPr>
        <xdr:cNvPr id="67" name="Line 107">
          <a:extLst>
            <a:ext uri="{FF2B5EF4-FFF2-40B4-BE49-F238E27FC236}">
              <a16:creationId xmlns:a16="http://schemas.microsoft.com/office/drawing/2014/main" id="{27FEA745-6AEF-4869-9D38-59C52B14A9C0}"/>
            </a:ext>
          </a:extLst>
        </xdr:cNvPr>
        <xdr:cNvSpPr>
          <a:spLocks noChangeShapeType="1"/>
        </xdr:cNvSpPr>
      </xdr:nvSpPr>
      <xdr:spPr bwMode="auto">
        <a:xfrm flipH="1">
          <a:off x="3679190" y="2693670"/>
          <a:ext cx="0" cy="3460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26</xdr:col>
      <xdr:colOff>44450</xdr:colOff>
      <xdr:row>14</xdr:row>
      <xdr:rowOff>19050</xdr:rowOff>
    </xdr:from>
    <xdr:ext cx="558800" cy="152400"/>
    <xdr:sp macro="" textlink="">
      <xdr:nvSpPr>
        <xdr:cNvPr id="68" name="Text Box 108">
          <a:extLst>
            <a:ext uri="{FF2B5EF4-FFF2-40B4-BE49-F238E27FC236}">
              <a16:creationId xmlns:a16="http://schemas.microsoft.com/office/drawing/2014/main" id="{4A870C36-5C65-47B9-99FF-F93686B2C15B}"/>
            </a:ext>
          </a:extLst>
        </xdr:cNvPr>
        <xdr:cNvSpPr txBox="1">
          <a:spLocks noChangeArrowheads="1"/>
        </xdr:cNvSpPr>
      </xdr:nvSpPr>
      <xdr:spPr bwMode="auto">
        <a:xfrm>
          <a:off x="3877310" y="2358390"/>
          <a:ext cx="558800" cy="15240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By Element</a:t>
          </a:r>
        </a:p>
      </xdr:txBody>
    </xdr:sp>
    <xdr:clientData/>
  </xdr:oneCellAnchor>
  <xdr:twoCellAnchor>
    <xdr:from>
      <xdr:col>25</xdr:col>
      <xdr:colOff>50800</xdr:colOff>
      <xdr:row>15</xdr:row>
      <xdr:rowOff>19050</xdr:rowOff>
    </xdr:from>
    <xdr:to>
      <xdr:col>31</xdr:col>
      <xdr:colOff>0</xdr:colOff>
      <xdr:row>17</xdr:row>
      <xdr:rowOff>76200</xdr:rowOff>
    </xdr:to>
    <xdr:sp macro="" textlink="">
      <xdr:nvSpPr>
        <xdr:cNvPr id="69" name="Rectangle 109">
          <a:extLst>
            <a:ext uri="{FF2B5EF4-FFF2-40B4-BE49-F238E27FC236}">
              <a16:creationId xmlns:a16="http://schemas.microsoft.com/office/drawing/2014/main" id="{BEA44A3C-8F3F-4970-9841-8CEB012597C2}"/>
            </a:ext>
          </a:extLst>
        </xdr:cNvPr>
        <xdr:cNvSpPr>
          <a:spLocks noChangeArrowheads="1"/>
        </xdr:cNvSpPr>
      </xdr:nvSpPr>
      <xdr:spPr bwMode="auto">
        <a:xfrm>
          <a:off x="3738880" y="2526030"/>
          <a:ext cx="817880" cy="3924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158750</xdr:colOff>
      <xdr:row>21</xdr:row>
      <xdr:rowOff>139700</xdr:rowOff>
    </xdr:from>
    <xdr:to>
      <xdr:col>24</xdr:col>
      <xdr:colOff>158750</xdr:colOff>
      <xdr:row>25</xdr:row>
      <xdr:rowOff>101600</xdr:rowOff>
    </xdr:to>
    <xdr:sp macro="" textlink="">
      <xdr:nvSpPr>
        <xdr:cNvPr id="70" name="Line 117">
          <a:extLst>
            <a:ext uri="{FF2B5EF4-FFF2-40B4-BE49-F238E27FC236}">
              <a16:creationId xmlns:a16="http://schemas.microsoft.com/office/drawing/2014/main" id="{A5EBFF6E-28C4-405E-A1D7-A69D7B41B40F}"/>
            </a:ext>
          </a:extLst>
        </xdr:cNvPr>
        <xdr:cNvSpPr>
          <a:spLocks noChangeShapeType="1"/>
        </xdr:cNvSpPr>
      </xdr:nvSpPr>
      <xdr:spPr bwMode="auto">
        <a:xfrm>
          <a:off x="3679190" y="3652520"/>
          <a:ext cx="0" cy="6324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146050</xdr:colOff>
      <xdr:row>21</xdr:row>
      <xdr:rowOff>133350</xdr:rowOff>
    </xdr:from>
    <xdr:to>
      <xdr:col>25</xdr:col>
      <xdr:colOff>82550</xdr:colOff>
      <xdr:row>21</xdr:row>
      <xdr:rowOff>133350</xdr:rowOff>
    </xdr:to>
    <xdr:sp macro="" textlink="">
      <xdr:nvSpPr>
        <xdr:cNvPr id="71" name="Line 118">
          <a:extLst>
            <a:ext uri="{FF2B5EF4-FFF2-40B4-BE49-F238E27FC236}">
              <a16:creationId xmlns:a16="http://schemas.microsoft.com/office/drawing/2014/main" id="{DB0A1715-3151-4F6B-9ED1-7A1DF7484AB8}"/>
            </a:ext>
          </a:extLst>
        </xdr:cNvPr>
        <xdr:cNvSpPr>
          <a:spLocks noChangeShapeType="1"/>
        </xdr:cNvSpPr>
      </xdr:nvSpPr>
      <xdr:spPr bwMode="auto">
        <a:xfrm>
          <a:off x="3666490" y="3646170"/>
          <a:ext cx="1041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50800</xdr:colOff>
      <xdr:row>29</xdr:row>
      <xdr:rowOff>101600</xdr:rowOff>
    </xdr:from>
    <xdr:to>
      <xdr:col>31</xdr:col>
      <xdr:colOff>0</xdr:colOff>
      <xdr:row>32</xdr:row>
      <xdr:rowOff>19050</xdr:rowOff>
    </xdr:to>
    <xdr:sp macro="" textlink="">
      <xdr:nvSpPr>
        <xdr:cNvPr id="72" name="Rectangle 125">
          <a:extLst>
            <a:ext uri="{FF2B5EF4-FFF2-40B4-BE49-F238E27FC236}">
              <a16:creationId xmlns:a16="http://schemas.microsoft.com/office/drawing/2014/main" id="{809AEF16-398B-498F-8ABC-C379E14A5564}"/>
            </a:ext>
          </a:extLst>
        </xdr:cNvPr>
        <xdr:cNvSpPr>
          <a:spLocks noChangeArrowheads="1"/>
        </xdr:cNvSpPr>
      </xdr:nvSpPr>
      <xdr:spPr bwMode="auto">
        <a:xfrm>
          <a:off x="3738880" y="4955540"/>
          <a:ext cx="817880" cy="4203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37</xdr:col>
      <xdr:colOff>82550</xdr:colOff>
      <xdr:row>5</xdr:row>
      <xdr:rowOff>76200</xdr:rowOff>
    </xdr:from>
    <xdr:to>
      <xdr:col>78</xdr:col>
      <xdr:colOff>50800</xdr:colOff>
      <xdr:row>11</xdr:row>
      <xdr:rowOff>120650</xdr:rowOff>
    </xdr:to>
    <xdr:grpSp>
      <xdr:nvGrpSpPr>
        <xdr:cNvPr id="73" name="Group 127">
          <a:extLst>
            <a:ext uri="{FF2B5EF4-FFF2-40B4-BE49-F238E27FC236}">
              <a16:creationId xmlns:a16="http://schemas.microsoft.com/office/drawing/2014/main" id="{25DBED75-FBE5-4C1C-95B7-2F359BBEC2C5}"/>
            </a:ext>
          </a:extLst>
        </xdr:cNvPr>
        <xdr:cNvGrpSpPr>
          <a:grpSpLocks/>
        </xdr:cNvGrpSpPr>
      </xdr:nvGrpSpPr>
      <xdr:grpSpPr bwMode="auto">
        <a:xfrm>
          <a:off x="5628217" y="887589"/>
          <a:ext cx="6043083" cy="1018117"/>
          <a:chOff x="519" y="138"/>
          <a:chExt cx="483" cy="77"/>
        </a:xfrm>
      </xdr:grpSpPr>
      <xdr:sp macro="" textlink="">
        <xdr:nvSpPr>
          <xdr:cNvPr id="74" name="Line 128">
            <a:extLst>
              <a:ext uri="{FF2B5EF4-FFF2-40B4-BE49-F238E27FC236}">
                <a16:creationId xmlns:a16="http://schemas.microsoft.com/office/drawing/2014/main" id="{22766673-F375-BF16-8820-AFA4C786D83F}"/>
              </a:ext>
            </a:extLst>
          </xdr:cNvPr>
          <xdr:cNvSpPr>
            <a:spLocks noChangeShapeType="1"/>
          </xdr:cNvSpPr>
        </xdr:nvSpPr>
        <xdr:spPr bwMode="auto">
          <a:xfrm>
            <a:off x="555" y="177"/>
            <a:ext cx="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AutoShape 129">
            <a:extLst>
              <a:ext uri="{FF2B5EF4-FFF2-40B4-BE49-F238E27FC236}">
                <a16:creationId xmlns:a16="http://schemas.microsoft.com/office/drawing/2014/main" id="{CAE34177-8E15-7459-CBA5-308277AF779D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644" y="138"/>
            <a:ext cx="84" cy="77"/>
          </a:xfrm>
          <a:prstGeom prst="chevron">
            <a:avLst>
              <a:gd name="adj" fmla="val 27273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6" name="AutoShape 130">
            <a:extLst>
              <a:ext uri="{FF2B5EF4-FFF2-40B4-BE49-F238E27FC236}">
                <a16:creationId xmlns:a16="http://schemas.microsoft.com/office/drawing/2014/main" id="{59D4CEE5-571D-A214-CDCB-51B8AD22D1E3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707" y="138"/>
            <a:ext cx="76" cy="77"/>
          </a:xfrm>
          <a:prstGeom prst="chevro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800"/>
              </a:lnSpc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7" name="AutoShape 131">
            <a:extLst>
              <a:ext uri="{FF2B5EF4-FFF2-40B4-BE49-F238E27FC236}">
                <a16:creationId xmlns:a16="http://schemas.microsoft.com/office/drawing/2014/main" id="{08371741-1E79-9ABC-FE41-EC21DA48CCE7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762" y="138"/>
            <a:ext cx="76" cy="77"/>
          </a:xfrm>
          <a:prstGeom prst="chevro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800"/>
              </a:lnSpc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8" name="AutoShape 132">
            <a:extLst>
              <a:ext uri="{FF2B5EF4-FFF2-40B4-BE49-F238E27FC236}">
                <a16:creationId xmlns:a16="http://schemas.microsoft.com/office/drawing/2014/main" id="{FD4F155F-9933-CE0A-34C1-FA409A7266D3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819" y="138"/>
            <a:ext cx="76" cy="77"/>
          </a:xfrm>
          <a:prstGeom prst="chevro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79" name="AutoShape 133">
            <a:extLst>
              <a:ext uri="{FF2B5EF4-FFF2-40B4-BE49-F238E27FC236}">
                <a16:creationId xmlns:a16="http://schemas.microsoft.com/office/drawing/2014/main" id="{D2C7C9F9-71CB-F5EE-ADC6-03455754FC02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934" y="138"/>
            <a:ext cx="68" cy="77"/>
          </a:xfrm>
          <a:prstGeom prst="homePlate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80" name="Line 134">
            <a:extLst>
              <a:ext uri="{FF2B5EF4-FFF2-40B4-BE49-F238E27FC236}">
                <a16:creationId xmlns:a16="http://schemas.microsoft.com/office/drawing/2014/main" id="{766645FF-6C85-FFA6-60D4-4A37D73CC0D8}"/>
              </a:ext>
            </a:extLst>
          </xdr:cNvPr>
          <xdr:cNvSpPr>
            <a:spLocks noChangeShapeType="1"/>
          </xdr:cNvSpPr>
        </xdr:nvSpPr>
        <xdr:spPr bwMode="auto">
          <a:xfrm>
            <a:off x="519" y="211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AutoShape 135">
            <a:extLst>
              <a:ext uri="{FF2B5EF4-FFF2-40B4-BE49-F238E27FC236}">
                <a16:creationId xmlns:a16="http://schemas.microsoft.com/office/drawing/2014/main" id="{CE56029D-A848-090D-9ACE-DDE44A8A7808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876" y="138"/>
            <a:ext cx="77" cy="77"/>
          </a:xfrm>
          <a:prstGeom prst="chevro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82" name="AutoShape 136">
            <a:extLst>
              <a:ext uri="{FF2B5EF4-FFF2-40B4-BE49-F238E27FC236}">
                <a16:creationId xmlns:a16="http://schemas.microsoft.com/office/drawing/2014/main" id="{6F7F8AB5-370A-3878-26B4-128174A925C9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585" y="138"/>
            <a:ext cx="81" cy="77"/>
          </a:xfrm>
          <a:prstGeom prst="chevron">
            <a:avLst>
              <a:gd name="adj" fmla="val 26299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83" name="AutoShape 137">
            <a:extLst>
              <a:ext uri="{FF2B5EF4-FFF2-40B4-BE49-F238E27FC236}">
                <a16:creationId xmlns:a16="http://schemas.microsoft.com/office/drawing/2014/main" id="{81BE28C2-0438-580A-A9E0-295E6F6B6555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529" y="138"/>
            <a:ext cx="76" cy="77"/>
          </a:xfrm>
          <a:prstGeom prst="chevro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oneCellAnchor>
    <xdr:from>
      <xdr:col>57</xdr:col>
      <xdr:colOff>0</xdr:colOff>
      <xdr:row>4</xdr:row>
      <xdr:rowOff>107950</xdr:rowOff>
    </xdr:from>
    <xdr:ext cx="361950" cy="146050"/>
    <xdr:sp macro="" textlink="">
      <xdr:nvSpPr>
        <xdr:cNvPr id="84" name="Text Box 138">
          <a:extLst>
            <a:ext uri="{FF2B5EF4-FFF2-40B4-BE49-F238E27FC236}">
              <a16:creationId xmlns:a16="http://schemas.microsoft.com/office/drawing/2014/main" id="{EA08C361-7BF3-4C45-BEF1-CEA99ACD9F31}"/>
            </a:ext>
          </a:extLst>
        </xdr:cNvPr>
        <xdr:cNvSpPr txBox="1">
          <a:spLocks noChangeArrowheads="1"/>
        </xdr:cNvSpPr>
      </xdr:nvSpPr>
      <xdr:spPr bwMode="auto">
        <a:xfrm>
          <a:off x="8321040" y="770890"/>
          <a:ext cx="361950" cy="14605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Proses</a:t>
          </a:r>
        </a:p>
      </xdr:txBody>
    </xdr:sp>
    <xdr:clientData/>
  </xdr:oneCellAnchor>
  <xdr:twoCellAnchor>
    <xdr:from>
      <xdr:col>37</xdr:col>
      <xdr:colOff>146050</xdr:colOff>
      <xdr:row>8</xdr:row>
      <xdr:rowOff>95250</xdr:rowOff>
    </xdr:from>
    <xdr:to>
      <xdr:col>37</xdr:col>
      <xdr:colOff>146050</xdr:colOff>
      <xdr:row>19</xdr:row>
      <xdr:rowOff>127000</xdr:rowOff>
    </xdr:to>
    <xdr:sp macro="" textlink="">
      <xdr:nvSpPr>
        <xdr:cNvPr id="85" name="Line 139">
          <a:extLst>
            <a:ext uri="{FF2B5EF4-FFF2-40B4-BE49-F238E27FC236}">
              <a16:creationId xmlns:a16="http://schemas.microsoft.com/office/drawing/2014/main" id="{579741E0-82BE-4093-A471-AC5C52074208}"/>
            </a:ext>
          </a:extLst>
        </xdr:cNvPr>
        <xdr:cNvSpPr>
          <a:spLocks noChangeShapeType="1"/>
        </xdr:cNvSpPr>
      </xdr:nvSpPr>
      <xdr:spPr bwMode="auto">
        <a:xfrm flipH="1">
          <a:off x="5571490" y="1428750"/>
          <a:ext cx="0" cy="187579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82550</xdr:colOff>
      <xdr:row>19</xdr:row>
      <xdr:rowOff>133350</xdr:rowOff>
    </xdr:from>
    <xdr:to>
      <xdr:col>31</xdr:col>
      <xdr:colOff>82550</xdr:colOff>
      <xdr:row>37</xdr:row>
      <xdr:rowOff>38100</xdr:rowOff>
    </xdr:to>
    <xdr:sp macro="" textlink="">
      <xdr:nvSpPr>
        <xdr:cNvPr id="86" name="Line 120">
          <a:extLst>
            <a:ext uri="{FF2B5EF4-FFF2-40B4-BE49-F238E27FC236}">
              <a16:creationId xmlns:a16="http://schemas.microsoft.com/office/drawing/2014/main" id="{27D34AF2-C324-4DEE-97EF-B2B16C6D035D}"/>
            </a:ext>
          </a:extLst>
        </xdr:cNvPr>
        <xdr:cNvSpPr>
          <a:spLocks noChangeShapeType="1"/>
        </xdr:cNvSpPr>
      </xdr:nvSpPr>
      <xdr:spPr bwMode="auto">
        <a:xfrm flipH="1">
          <a:off x="4639310" y="3310890"/>
          <a:ext cx="0" cy="29222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32</xdr:col>
      <xdr:colOff>82550</xdr:colOff>
      <xdr:row>16</xdr:row>
      <xdr:rowOff>107950</xdr:rowOff>
    </xdr:from>
    <xdr:ext cx="583173" cy="136384"/>
    <xdr:sp macro="" textlink="">
      <xdr:nvSpPr>
        <xdr:cNvPr id="87" name="Text Box 126">
          <a:extLst>
            <a:ext uri="{FF2B5EF4-FFF2-40B4-BE49-F238E27FC236}">
              <a16:creationId xmlns:a16="http://schemas.microsoft.com/office/drawing/2014/main" id="{52742C29-11EE-45A0-8FF0-9B5AA4C7E656}"/>
            </a:ext>
          </a:extLst>
        </xdr:cNvPr>
        <xdr:cNvSpPr txBox="1">
          <a:spLocks noChangeArrowheads="1"/>
        </xdr:cNvSpPr>
      </xdr:nvSpPr>
      <xdr:spPr bwMode="auto">
        <a:xfrm>
          <a:off x="4784090" y="2782570"/>
          <a:ext cx="583173" cy="136384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By Standard</a:t>
          </a:r>
        </a:p>
      </xdr:txBody>
    </xdr:sp>
    <xdr:clientData/>
  </xdr:oneCellAnchor>
  <xdr:twoCellAnchor>
    <xdr:from>
      <xdr:col>39</xdr:col>
      <xdr:colOff>82550</xdr:colOff>
      <xdr:row>11</xdr:row>
      <xdr:rowOff>127000</xdr:rowOff>
    </xdr:from>
    <xdr:to>
      <xdr:col>69</xdr:col>
      <xdr:colOff>76200</xdr:colOff>
      <xdr:row>14</xdr:row>
      <xdr:rowOff>95250</xdr:rowOff>
    </xdr:to>
    <xdr:sp macro="" textlink="">
      <xdr:nvSpPr>
        <xdr:cNvPr id="88" name="Line 144">
          <a:extLst>
            <a:ext uri="{FF2B5EF4-FFF2-40B4-BE49-F238E27FC236}">
              <a16:creationId xmlns:a16="http://schemas.microsoft.com/office/drawing/2014/main" id="{BCAC79E0-7792-4557-BA54-8E5D0632B535}"/>
            </a:ext>
          </a:extLst>
        </xdr:cNvPr>
        <xdr:cNvSpPr>
          <a:spLocks noChangeShapeType="1"/>
        </xdr:cNvSpPr>
      </xdr:nvSpPr>
      <xdr:spPr bwMode="auto">
        <a:xfrm flipV="1">
          <a:off x="5772150" y="1981200"/>
          <a:ext cx="4311650" cy="4762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101600</xdr:colOff>
      <xdr:row>11</xdr:row>
      <xdr:rowOff>120650</xdr:rowOff>
    </xdr:from>
    <xdr:to>
      <xdr:col>74</xdr:col>
      <xdr:colOff>31750</xdr:colOff>
      <xdr:row>14</xdr:row>
      <xdr:rowOff>101600</xdr:rowOff>
    </xdr:to>
    <xdr:sp macro="" textlink="">
      <xdr:nvSpPr>
        <xdr:cNvPr id="89" name="Line 145">
          <a:extLst>
            <a:ext uri="{FF2B5EF4-FFF2-40B4-BE49-F238E27FC236}">
              <a16:creationId xmlns:a16="http://schemas.microsoft.com/office/drawing/2014/main" id="{A20FA77D-C80D-48D7-A90D-E13BC079973F}"/>
            </a:ext>
          </a:extLst>
        </xdr:cNvPr>
        <xdr:cNvSpPr>
          <a:spLocks noChangeShapeType="1"/>
        </xdr:cNvSpPr>
      </xdr:nvSpPr>
      <xdr:spPr bwMode="auto">
        <a:xfrm flipV="1">
          <a:off x="8422640" y="1957070"/>
          <a:ext cx="2391410" cy="48387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39</xdr:col>
      <xdr:colOff>44450</xdr:colOff>
      <xdr:row>12</xdr:row>
      <xdr:rowOff>146050</xdr:rowOff>
    </xdr:from>
    <xdr:ext cx="902298" cy="136384"/>
    <xdr:sp macro="" textlink="">
      <xdr:nvSpPr>
        <xdr:cNvPr id="90" name="Text Box 146">
          <a:extLst>
            <a:ext uri="{FF2B5EF4-FFF2-40B4-BE49-F238E27FC236}">
              <a16:creationId xmlns:a16="http://schemas.microsoft.com/office/drawing/2014/main" id="{2C03A5EA-3BDD-4A3C-8362-9F8245553788}"/>
            </a:ext>
          </a:extLst>
        </xdr:cNvPr>
        <xdr:cNvSpPr txBox="1">
          <a:spLocks noChangeArrowheads="1"/>
        </xdr:cNvSpPr>
      </xdr:nvSpPr>
      <xdr:spPr bwMode="auto">
        <a:xfrm>
          <a:off x="5759450" y="2150110"/>
          <a:ext cx="902298" cy="136384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Problem to Tackle</a:t>
          </a:r>
        </a:p>
      </xdr:txBody>
    </xdr:sp>
    <xdr:clientData/>
  </xdr:oneCellAnchor>
  <xdr:twoCellAnchor>
    <xdr:from>
      <xdr:col>3</xdr:col>
      <xdr:colOff>101600</xdr:colOff>
      <xdr:row>20</xdr:row>
      <xdr:rowOff>44450</xdr:rowOff>
    </xdr:from>
    <xdr:to>
      <xdr:col>7</xdr:col>
      <xdr:colOff>19050</xdr:colOff>
      <xdr:row>21</xdr:row>
      <xdr:rowOff>63500</xdr:rowOff>
    </xdr:to>
    <xdr:sp macro="" textlink="">
      <xdr:nvSpPr>
        <xdr:cNvPr id="91" name="AutoShape 147">
          <a:extLst>
            <a:ext uri="{FF2B5EF4-FFF2-40B4-BE49-F238E27FC236}">
              <a16:creationId xmlns:a16="http://schemas.microsoft.com/office/drawing/2014/main" id="{22291F05-BD3B-4EB1-9B58-38886C24D479}"/>
            </a:ext>
          </a:extLst>
        </xdr:cNvPr>
        <xdr:cNvSpPr>
          <a:spLocks noChangeArrowheads="1"/>
        </xdr:cNvSpPr>
      </xdr:nvSpPr>
      <xdr:spPr bwMode="auto">
        <a:xfrm>
          <a:off x="535940" y="3389630"/>
          <a:ext cx="496570" cy="186690"/>
        </a:xfrm>
        <a:prstGeom prst="rightArrow">
          <a:avLst>
            <a:gd name="adj1" fmla="val 50000"/>
            <a:gd name="adj2" fmla="val 77679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68</xdr:col>
      <xdr:colOff>50800</xdr:colOff>
      <xdr:row>12</xdr:row>
      <xdr:rowOff>133350</xdr:rowOff>
    </xdr:from>
    <xdr:to>
      <xdr:col>78</xdr:col>
      <xdr:colOff>38100</xdr:colOff>
      <xdr:row>14</xdr:row>
      <xdr:rowOff>44450</xdr:rowOff>
    </xdr:to>
    <xdr:sp macro="" textlink="">
      <xdr:nvSpPr>
        <xdr:cNvPr id="92" name="Rectangle 148">
          <a:extLst>
            <a:ext uri="{FF2B5EF4-FFF2-40B4-BE49-F238E27FC236}">
              <a16:creationId xmlns:a16="http://schemas.microsoft.com/office/drawing/2014/main" id="{2FC4E089-47CF-4FEC-AD7E-15E416377EA6}"/>
            </a:ext>
          </a:extLst>
        </xdr:cNvPr>
        <xdr:cNvSpPr>
          <a:spLocks noChangeArrowheads="1"/>
        </xdr:cNvSpPr>
      </xdr:nvSpPr>
      <xdr:spPr bwMode="auto">
        <a:xfrm>
          <a:off x="9964420" y="2137410"/>
          <a:ext cx="1435100" cy="246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 III Setting Target</a:t>
          </a:r>
        </a:p>
      </xdr:txBody>
    </xdr:sp>
    <xdr:clientData/>
  </xdr:twoCellAnchor>
  <xdr:twoCellAnchor>
    <xdr:from>
      <xdr:col>66</xdr:col>
      <xdr:colOff>12700</xdr:colOff>
      <xdr:row>23</xdr:row>
      <xdr:rowOff>114300</xdr:rowOff>
    </xdr:from>
    <xdr:to>
      <xdr:col>78</xdr:col>
      <xdr:colOff>50800</xdr:colOff>
      <xdr:row>25</xdr:row>
      <xdr:rowOff>19050</xdr:rowOff>
    </xdr:to>
    <xdr:sp macro="" textlink="">
      <xdr:nvSpPr>
        <xdr:cNvPr id="93" name="Rectangle 149">
          <a:extLst>
            <a:ext uri="{FF2B5EF4-FFF2-40B4-BE49-F238E27FC236}">
              <a16:creationId xmlns:a16="http://schemas.microsoft.com/office/drawing/2014/main" id="{43608348-E0B0-477E-8C08-EAA975FF03B2}"/>
            </a:ext>
          </a:extLst>
        </xdr:cNvPr>
        <xdr:cNvSpPr>
          <a:spLocks noChangeArrowheads="1"/>
        </xdr:cNvSpPr>
      </xdr:nvSpPr>
      <xdr:spPr bwMode="auto">
        <a:xfrm>
          <a:off x="9636760" y="3962400"/>
          <a:ext cx="1775460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Step.IV Root Cause Analyze</a:t>
          </a:r>
        </a:p>
      </xdr:txBody>
    </xdr:sp>
    <xdr:clientData/>
  </xdr:twoCellAnchor>
  <xdr:twoCellAnchor>
    <xdr:from>
      <xdr:col>67</xdr:col>
      <xdr:colOff>107950</xdr:colOff>
      <xdr:row>43</xdr:row>
      <xdr:rowOff>44450</xdr:rowOff>
    </xdr:from>
    <xdr:to>
      <xdr:col>72</xdr:col>
      <xdr:colOff>139700</xdr:colOff>
      <xdr:row>43</xdr:row>
      <xdr:rowOff>44450</xdr:rowOff>
    </xdr:to>
    <xdr:sp macro="" textlink="">
      <xdr:nvSpPr>
        <xdr:cNvPr id="94" name="Line 150">
          <a:extLst>
            <a:ext uri="{FF2B5EF4-FFF2-40B4-BE49-F238E27FC236}">
              <a16:creationId xmlns:a16="http://schemas.microsoft.com/office/drawing/2014/main" id="{C997FA04-A12C-4E49-8927-D6594E060332}"/>
            </a:ext>
          </a:extLst>
        </xdr:cNvPr>
        <xdr:cNvSpPr>
          <a:spLocks noChangeShapeType="1"/>
        </xdr:cNvSpPr>
      </xdr:nvSpPr>
      <xdr:spPr bwMode="auto">
        <a:xfrm>
          <a:off x="9876790" y="7237730"/>
          <a:ext cx="755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66</xdr:col>
      <xdr:colOff>57150</xdr:colOff>
      <xdr:row>25</xdr:row>
      <xdr:rowOff>95250</xdr:rowOff>
    </xdr:from>
    <xdr:to>
      <xdr:col>66</xdr:col>
      <xdr:colOff>57150</xdr:colOff>
      <xdr:row>30</xdr:row>
      <xdr:rowOff>120650</xdr:rowOff>
    </xdr:to>
    <xdr:sp macro="" textlink="">
      <xdr:nvSpPr>
        <xdr:cNvPr id="95" name="Line 151">
          <a:extLst>
            <a:ext uri="{FF2B5EF4-FFF2-40B4-BE49-F238E27FC236}">
              <a16:creationId xmlns:a16="http://schemas.microsoft.com/office/drawing/2014/main" id="{0A598CAE-FA22-4882-BE19-0B5FACF2A170}"/>
            </a:ext>
          </a:extLst>
        </xdr:cNvPr>
        <xdr:cNvSpPr>
          <a:spLocks noChangeShapeType="1"/>
        </xdr:cNvSpPr>
      </xdr:nvSpPr>
      <xdr:spPr bwMode="auto">
        <a:xfrm>
          <a:off x="9681210" y="4278630"/>
          <a:ext cx="0" cy="863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74</xdr:col>
      <xdr:colOff>82550</xdr:colOff>
      <xdr:row>25</xdr:row>
      <xdr:rowOff>95250</xdr:rowOff>
    </xdr:from>
    <xdr:to>
      <xdr:col>74</xdr:col>
      <xdr:colOff>82550</xdr:colOff>
      <xdr:row>42</xdr:row>
      <xdr:rowOff>95250</xdr:rowOff>
    </xdr:to>
    <xdr:sp macro="" textlink="">
      <xdr:nvSpPr>
        <xdr:cNvPr id="96" name="Line 152">
          <a:extLst>
            <a:ext uri="{FF2B5EF4-FFF2-40B4-BE49-F238E27FC236}">
              <a16:creationId xmlns:a16="http://schemas.microsoft.com/office/drawing/2014/main" id="{529FB67E-2A1A-4369-8551-01749A19BFA7}"/>
            </a:ext>
          </a:extLst>
        </xdr:cNvPr>
        <xdr:cNvSpPr>
          <a:spLocks noChangeShapeType="1"/>
        </xdr:cNvSpPr>
      </xdr:nvSpPr>
      <xdr:spPr bwMode="auto">
        <a:xfrm>
          <a:off x="10864850" y="4278630"/>
          <a:ext cx="0" cy="2842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88900</xdr:colOff>
      <xdr:row>25</xdr:row>
      <xdr:rowOff>95250</xdr:rowOff>
    </xdr:from>
    <xdr:to>
      <xdr:col>42</xdr:col>
      <xdr:colOff>88900</xdr:colOff>
      <xdr:row>38</xdr:row>
      <xdr:rowOff>44450</xdr:rowOff>
    </xdr:to>
    <xdr:sp macro="" textlink="">
      <xdr:nvSpPr>
        <xdr:cNvPr id="97" name="Line 153">
          <a:extLst>
            <a:ext uri="{FF2B5EF4-FFF2-40B4-BE49-F238E27FC236}">
              <a16:creationId xmlns:a16="http://schemas.microsoft.com/office/drawing/2014/main" id="{523B8135-A1D8-4006-BC0A-2723DDCA1F8F}"/>
            </a:ext>
          </a:extLst>
        </xdr:cNvPr>
        <xdr:cNvSpPr>
          <a:spLocks noChangeShapeType="1"/>
        </xdr:cNvSpPr>
      </xdr:nvSpPr>
      <xdr:spPr bwMode="auto">
        <a:xfrm>
          <a:off x="6238240" y="4278630"/>
          <a:ext cx="0" cy="2128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120650</xdr:colOff>
      <xdr:row>26</xdr:row>
      <xdr:rowOff>101600</xdr:rowOff>
    </xdr:from>
    <xdr:to>
      <xdr:col>69</xdr:col>
      <xdr:colOff>146050</xdr:colOff>
      <xdr:row>28</xdr:row>
      <xdr:rowOff>114300</xdr:rowOff>
    </xdr:to>
    <xdr:sp macro="" textlink="">
      <xdr:nvSpPr>
        <xdr:cNvPr id="98" name="Rectangle 154">
          <a:extLst>
            <a:ext uri="{FF2B5EF4-FFF2-40B4-BE49-F238E27FC236}">
              <a16:creationId xmlns:a16="http://schemas.microsoft.com/office/drawing/2014/main" id="{D6D4CDC0-4260-4256-8CB9-A3CD17DF06EB}"/>
            </a:ext>
          </a:extLst>
        </xdr:cNvPr>
        <xdr:cNvSpPr>
          <a:spLocks noChangeArrowheads="1"/>
        </xdr:cNvSpPr>
      </xdr:nvSpPr>
      <xdr:spPr bwMode="auto">
        <a:xfrm>
          <a:off x="9165590" y="4452620"/>
          <a:ext cx="1038860" cy="347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Method 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(Example)</a:t>
          </a:r>
          <a:endParaRPr lang="en-ID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42</xdr:col>
      <xdr:colOff>88900</xdr:colOff>
      <xdr:row>25</xdr:row>
      <xdr:rowOff>95250</xdr:rowOff>
    </xdr:from>
    <xdr:to>
      <xdr:col>74</xdr:col>
      <xdr:colOff>0</xdr:colOff>
      <xdr:row>25</xdr:row>
      <xdr:rowOff>95250</xdr:rowOff>
    </xdr:to>
    <xdr:sp macro="" textlink="">
      <xdr:nvSpPr>
        <xdr:cNvPr id="99" name="Line 156">
          <a:extLst>
            <a:ext uri="{FF2B5EF4-FFF2-40B4-BE49-F238E27FC236}">
              <a16:creationId xmlns:a16="http://schemas.microsoft.com/office/drawing/2014/main" id="{E2FB8EB3-5C6A-4F92-A7D8-A5812EB9A8A3}"/>
            </a:ext>
          </a:extLst>
        </xdr:cNvPr>
        <xdr:cNvSpPr>
          <a:spLocks noChangeShapeType="1"/>
        </xdr:cNvSpPr>
      </xdr:nvSpPr>
      <xdr:spPr bwMode="auto">
        <a:xfrm flipV="1">
          <a:off x="6238240" y="4278630"/>
          <a:ext cx="4544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120650</xdr:colOff>
      <xdr:row>26</xdr:row>
      <xdr:rowOff>120650</xdr:rowOff>
    </xdr:from>
    <xdr:to>
      <xdr:col>45</xdr:col>
      <xdr:colOff>146050</xdr:colOff>
      <xdr:row>28</xdr:row>
      <xdr:rowOff>133350</xdr:rowOff>
    </xdr:to>
    <xdr:sp macro="" textlink="">
      <xdr:nvSpPr>
        <xdr:cNvPr id="100" name="Rectangle 157">
          <a:extLst>
            <a:ext uri="{FF2B5EF4-FFF2-40B4-BE49-F238E27FC236}">
              <a16:creationId xmlns:a16="http://schemas.microsoft.com/office/drawing/2014/main" id="{894638CE-0918-4BCB-9AD2-10FC197136D5}"/>
            </a:ext>
          </a:extLst>
        </xdr:cNvPr>
        <xdr:cNvSpPr>
          <a:spLocks noChangeArrowheads="1"/>
        </xdr:cNvSpPr>
      </xdr:nvSpPr>
      <xdr:spPr bwMode="auto">
        <a:xfrm>
          <a:off x="5690870" y="4471670"/>
          <a:ext cx="1038860" cy="347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Man </a:t>
          </a:r>
          <a:r>
            <a:rPr lang="en-US" sz="1000" b="1" i="1" u="none" strike="noStrike" baseline="0">
              <a:solidFill>
                <a:srgbClr val="FF0000"/>
              </a:solidFill>
              <a:latin typeface="Arial"/>
              <a:cs typeface="Arial"/>
            </a:rPr>
            <a:t>(Example)</a:t>
          </a:r>
        </a:p>
      </xdr:txBody>
    </xdr:sp>
    <xdr:clientData/>
  </xdr:twoCellAnchor>
  <xdr:twoCellAnchor>
    <xdr:from>
      <xdr:col>47</xdr:col>
      <xdr:colOff>101600</xdr:colOff>
      <xdr:row>23</xdr:row>
      <xdr:rowOff>158749</xdr:rowOff>
    </xdr:from>
    <xdr:to>
      <xdr:col>61</xdr:col>
      <xdr:colOff>0</xdr:colOff>
      <xdr:row>23</xdr:row>
      <xdr:rowOff>158749</xdr:rowOff>
    </xdr:to>
    <xdr:sp macro="" textlink="">
      <xdr:nvSpPr>
        <xdr:cNvPr id="101" name="Line 158">
          <a:extLst>
            <a:ext uri="{FF2B5EF4-FFF2-40B4-BE49-F238E27FC236}">
              <a16:creationId xmlns:a16="http://schemas.microsoft.com/office/drawing/2014/main" id="{942629FE-9E1B-4F56-A5C1-1F2389845D95}"/>
            </a:ext>
          </a:extLst>
        </xdr:cNvPr>
        <xdr:cNvSpPr>
          <a:spLocks noChangeShapeType="1"/>
        </xdr:cNvSpPr>
      </xdr:nvSpPr>
      <xdr:spPr bwMode="auto">
        <a:xfrm>
          <a:off x="6974840" y="4006849"/>
          <a:ext cx="19253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70</xdr:col>
      <xdr:colOff>110067</xdr:colOff>
      <xdr:row>26</xdr:row>
      <xdr:rowOff>101600</xdr:rowOff>
    </xdr:from>
    <xdr:to>
      <xdr:col>78</xdr:col>
      <xdr:colOff>50800</xdr:colOff>
      <xdr:row>28</xdr:row>
      <xdr:rowOff>114300</xdr:rowOff>
    </xdr:to>
    <xdr:sp macro="" textlink="">
      <xdr:nvSpPr>
        <xdr:cNvPr id="102" name="Rectangle 159">
          <a:extLst>
            <a:ext uri="{FF2B5EF4-FFF2-40B4-BE49-F238E27FC236}">
              <a16:creationId xmlns:a16="http://schemas.microsoft.com/office/drawing/2014/main" id="{6B96307F-B54B-46D4-8D50-222CBD1E4022}"/>
            </a:ext>
          </a:extLst>
        </xdr:cNvPr>
        <xdr:cNvSpPr>
          <a:spLocks noChangeArrowheads="1"/>
        </xdr:cNvSpPr>
      </xdr:nvSpPr>
      <xdr:spPr bwMode="auto">
        <a:xfrm>
          <a:off x="10313247" y="4452620"/>
          <a:ext cx="1098973" cy="347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Material 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(Example)</a:t>
          </a:r>
          <a:endParaRPr lang="en-ID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120650</xdr:colOff>
      <xdr:row>35</xdr:row>
      <xdr:rowOff>25400</xdr:rowOff>
    </xdr:from>
    <xdr:to>
      <xdr:col>45</xdr:col>
      <xdr:colOff>146050</xdr:colOff>
      <xdr:row>40</xdr:row>
      <xdr:rowOff>38100</xdr:rowOff>
    </xdr:to>
    <xdr:sp macro="" textlink="">
      <xdr:nvSpPr>
        <xdr:cNvPr id="103" name="Rectangle 160">
          <a:extLst>
            <a:ext uri="{FF2B5EF4-FFF2-40B4-BE49-F238E27FC236}">
              <a16:creationId xmlns:a16="http://schemas.microsoft.com/office/drawing/2014/main" id="{482C582D-BBCA-4DB9-84A2-234752F97D65}"/>
            </a:ext>
          </a:extLst>
        </xdr:cNvPr>
        <xdr:cNvSpPr>
          <a:spLocks noChangeArrowheads="1"/>
        </xdr:cNvSpPr>
      </xdr:nvSpPr>
      <xdr:spPr bwMode="auto">
        <a:xfrm>
          <a:off x="5690870" y="5885180"/>
          <a:ext cx="1038860" cy="8432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62</xdr:col>
      <xdr:colOff>120650</xdr:colOff>
      <xdr:row>29</xdr:row>
      <xdr:rowOff>57150</xdr:rowOff>
    </xdr:from>
    <xdr:to>
      <xdr:col>69</xdr:col>
      <xdr:colOff>146050</xdr:colOff>
      <xdr:row>34</xdr:row>
      <xdr:rowOff>63500</xdr:rowOff>
    </xdr:to>
    <xdr:sp macro="" textlink="">
      <xdr:nvSpPr>
        <xdr:cNvPr id="104" name="Rectangle 162">
          <a:extLst>
            <a:ext uri="{FF2B5EF4-FFF2-40B4-BE49-F238E27FC236}">
              <a16:creationId xmlns:a16="http://schemas.microsoft.com/office/drawing/2014/main" id="{AAAAB74A-03D9-4A29-8AB1-8E594F53318F}"/>
            </a:ext>
          </a:extLst>
        </xdr:cNvPr>
        <xdr:cNvSpPr>
          <a:spLocks noChangeArrowheads="1"/>
        </xdr:cNvSpPr>
      </xdr:nvSpPr>
      <xdr:spPr bwMode="auto">
        <a:xfrm>
          <a:off x="9165590" y="4911090"/>
          <a:ext cx="1038860" cy="844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800"/>
            </a:lnSpc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55</xdr:col>
      <xdr:colOff>0</xdr:colOff>
      <xdr:row>29</xdr:row>
      <xdr:rowOff>76200</xdr:rowOff>
    </xdr:from>
    <xdr:to>
      <xdr:col>62</xdr:col>
      <xdr:colOff>31750</xdr:colOff>
      <xdr:row>37</xdr:row>
      <xdr:rowOff>63500</xdr:rowOff>
    </xdr:to>
    <xdr:sp macro="" textlink="">
      <xdr:nvSpPr>
        <xdr:cNvPr id="105" name="Rectangle 163">
          <a:extLst>
            <a:ext uri="{FF2B5EF4-FFF2-40B4-BE49-F238E27FC236}">
              <a16:creationId xmlns:a16="http://schemas.microsoft.com/office/drawing/2014/main" id="{FCB8ADC4-9FDE-4B14-B3C4-EA3ADD777489}"/>
            </a:ext>
          </a:extLst>
        </xdr:cNvPr>
        <xdr:cNvSpPr>
          <a:spLocks noChangeArrowheads="1"/>
        </xdr:cNvSpPr>
      </xdr:nvSpPr>
      <xdr:spPr bwMode="auto">
        <a:xfrm>
          <a:off x="8031480" y="4930140"/>
          <a:ext cx="1045210" cy="13284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60</xdr:col>
      <xdr:colOff>139700</xdr:colOff>
      <xdr:row>25</xdr:row>
      <xdr:rowOff>95250</xdr:rowOff>
    </xdr:from>
    <xdr:to>
      <xdr:col>74</xdr:col>
      <xdr:colOff>88900</xdr:colOff>
      <xdr:row>25</xdr:row>
      <xdr:rowOff>95250</xdr:rowOff>
    </xdr:to>
    <xdr:sp macro="" textlink="">
      <xdr:nvSpPr>
        <xdr:cNvPr id="106" name="Line 166">
          <a:extLst>
            <a:ext uri="{FF2B5EF4-FFF2-40B4-BE49-F238E27FC236}">
              <a16:creationId xmlns:a16="http://schemas.microsoft.com/office/drawing/2014/main" id="{78B7ABA7-CB39-449E-9BAB-FE1FCDE45523}"/>
            </a:ext>
          </a:extLst>
        </xdr:cNvPr>
        <xdr:cNvSpPr>
          <a:spLocks noChangeShapeType="1"/>
        </xdr:cNvSpPr>
      </xdr:nvSpPr>
      <xdr:spPr bwMode="auto">
        <a:xfrm>
          <a:off x="8895080" y="4278630"/>
          <a:ext cx="1976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74</xdr:col>
      <xdr:colOff>69850</xdr:colOff>
      <xdr:row>45</xdr:row>
      <xdr:rowOff>44450</xdr:rowOff>
    </xdr:from>
    <xdr:to>
      <xdr:col>75</xdr:col>
      <xdr:colOff>101600</xdr:colOff>
      <xdr:row>46</xdr:row>
      <xdr:rowOff>44450</xdr:rowOff>
    </xdr:to>
    <xdr:grpSp>
      <xdr:nvGrpSpPr>
        <xdr:cNvPr id="107" name="Group 167">
          <a:extLst>
            <a:ext uri="{FF2B5EF4-FFF2-40B4-BE49-F238E27FC236}">
              <a16:creationId xmlns:a16="http://schemas.microsoft.com/office/drawing/2014/main" id="{4C2DF8CF-AA21-43E3-8C2B-225D90F7F80D}"/>
            </a:ext>
          </a:extLst>
        </xdr:cNvPr>
        <xdr:cNvGrpSpPr>
          <a:grpSpLocks/>
        </xdr:cNvGrpSpPr>
      </xdr:nvGrpSpPr>
      <xdr:grpSpPr bwMode="auto">
        <a:xfrm>
          <a:off x="11097683" y="7346950"/>
          <a:ext cx="179917" cy="162278"/>
          <a:chOff x="873" y="602"/>
          <a:chExt cx="14" cy="12"/>
        </a:xfrm>
      </xdr:grpSpPr>
      <xdr:sp macro="" textlink="">
        <xdr:nvSpPr>
          <xdr:cNvPr id="108" name="Rectangle 168">
            <a:extLst>
              <a:ext uri="{FF2B5EF4-FFF2-40B4-BE49-F238E27FC236}">
                <a16:creationId xmlns:a16="http://schemas.microsoft.com/office/drawing/2014/main" id="{FFA0BEB6-CE09-0997-D33F-E266C68552AE}"/>
              </a:ext>
            </a:extLst>
          </xdr:cNvPr>
          <xdr:cNvSpPr>
            <a:spLocks noChangeArrowheads="1"/>
          </xdr:cNvSpPr>
        </xdr:nvSpPr>
        <xdr:spPr bwMode="auto">
          <a:xfrm>
            <a:off x="873" y="602"/>
            <a:ext cx="14" cy="1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sp macro="" textlink="">
        <xdr:nvSpPr>
          <xdr:cNvPr id="109" name="Oval 169">
            <a:extLst>
              <a:ext uri="{FF2B5EF4-FFF2-40B4-BE49-F238E27FC236}">
                <a16:creationId xmlns:a16="http://schemas.microsoft.com/office/drawing/2014/main" id="{563199E9-0AB3-B2E4-B23D-B7BE25641116}"/>
              </a:ext>
            </a:extLst>
          </xdr:cNvPr>
          <xdr:cNvSpPr>
            <a:spLocks noChangeArrowheads="1"/>
          </xdr:cNvSpPr>
        </xdr:nvSpPr>
        <xdr:spPr bwMode="auto">
          <a:xfrm>
            <a:off x="876" y="605"/>
            <a:ext cx="7" cy="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</xdr:spPr>
      </xdr:sp>
    </xdr:grpSp>
    <xdr:clientData/>
  </xdr:twoCellAnchor>
  <xdr:twoCellAnchor>
    <xdr:from>
      <xdr:col>47</xdr:col>
      <xdr:colOff>107950</xdr:colOff>
      <xdr:row>20</xdr:row>
      <xdr:rowOff>152400</xdr:rowOff>
    </xdr:from>
    <xdr:to>
      <xdr:col>47</xdr:col>
      <xdr:colOff>107950</xdr:colOff>
      <xdr:row>24</xdr:row>
      <xdr:rowOff>19050</xdr:rowOff>
    </xdr:to>
    <xdr:sp macro="" textlink="">
      <xdr:nvSpPr>
        <xdr:cNvPr id="110" name="Line 170">
          <a:extLst>
            <a:ext uri="{FF2B5EF4-FFF2-40B4-BE49-F238E27FC236}">
              <a16:creationId xmlns:a16="http://schemas.microsoft.com/office/drawing/2014/main" id="{2530EC94-D8BB-4C8A-8827-DC4CACE5889B}"/>
            </a:ext>
          </a:extLst>
        </xdr:cNvPr>
        <xdr:cNvSpPr>
          <a:spLocks noChangeShapeType="1"/>
        </xdr:cNvSpPr>
      </xdr:nvSpPr>
      <xdr:spPr bwMode="auto">
        <a:xfrm>
          <a:off x="6981190" y="3497580"/>
          <a:ext cx="0" cy="53721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61</xdr:col>
      <xdr:colOff>0</xdr:colOff>
      <xdr:row>23</xdr:row>
      <xdr:rowOff>152400</xdr:rowOff>
    </xdr:from>
    <xdr:to>
      <xdr:col>61</xdr:col>
      <xdr:colOff>0</xdr:colOff>
      <xdr:row>25</xdr:row>
      <xdr:rowOff>95250</xdr:rowOff>
    </xdr:to>
    <xdr:sp macro="" textlink="">
      <xdr:nvSpPr>
        <xdr:cNvPr id="111" name="Line 171">
          <a:extLst>
            <a:ext uri="{FF2B5EF4-FFF2-40B4-BE49-F238E27FC236}">
              <a16:creationId xmlns:a16="http://schemas.microsoft.com/office/drawing/2014/main" id="{471937B0-3E7E-4D7F-950B-4672EA810EFB}"/>
            </a:ext>
          </a:extLst>
        </xdr:cNvPr>
        <xdr:cNvSpPr>
          <a:spLocks noChangeShapeType="1"/>
        </xdr:cNvSpPr>
      </xdr:nvSpPr>
      <xdr:spPr bwMode="auto">
        <a:xfrm>
          <a:off x="8900160" y="4000500"/>
          <a:ext cx="0" cy="27813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19050</xdr:colOff>
      <xdr:row>40</xdr:row>
      <xdr:rowOff>0</xdr:rowOff>
    </xdr:from>
    <xdr:to>
      <xdr:col>69</xdr:col>
      <xdr:colOff>139700</xdr:colOff>
      <xdr:row>41</xdr:row>
      <xdr:rowOff>82550</xdr:rowOff>
    </xdr:to>
    <xdr:sp macro="" textlink="">
      <xdr:nvSpPr>
        <xdr:cNvPr id="112" name="Rectangle 172">
          <a:extLst>
            <a:ext uri="{FF2B5EF4-FFF2-40B4-BE49-F238E27FC236}">
              <a16:creationId xmlns:a16="http://schemas.microsoft.com/office/drawing/2014/main" id="{0D501204-AC37-4834-966E-4F116F193276}"/>
            </a:ext>
          </a:extLst>
        </xdr:cNvPr>
        <xdr:cNvSpPr>
          <a:spLocks noChangeArrowheads="1"/>
        </xdr:cNvSpPr>
      </xdr:nvSpPr>
      <xdr:spPr bwMode="auto">
        <a:xfrm>
          <a:off x="8050530" y="6690360"/>
          <a:ext cx="2147570" cy="2501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Step.V Planing &amp; Countermeasure</a:t>
          </a:r>
        </a:p>
      </xdr:txBody>
    </xdr:sp>
    <xdr:clientData/>
  </xdr:twoCellAnchor>
  <xdr:twoCellAnchor>
    <xdr:from>
      <xdr:col>41</xdr:col>
      <xdr:colOff>107950</xdr:colOff>
      <xdr:row>40</xdr:row>
      <xdr:rowOff>82550</xdr:rowOff>
    </xdr:from>
    <xdr:to>
      <xdr:col>43</xdr:col>
      <xdr:colOff>1270</xdr:colOff>
      <xdr:row>41</xdr:row>
      <xdr:rowOff>101600</xdr:rowOff>
    </xdr:to>
    <xdr:grpSp>
      <xdr:nvGrpSpPr>
        <xdr:cNvPr id="113" name="Group 173">
          <a:extLst>
            <a:ext uri="{FF2B5EF4-FFF2-40B4-BE49-F238E27FC236}">
              <a16:creationId xmlns:a16="http://schemas.microsoft.com/office/drawing/2014/main" id="{2ADDE391-48D8-454E-9A4C-FE705635CEE4}"/>
            </a:ext>
          </a:extLst>
        </xdr:cNvPr>
        <xdr:cNvGrpSpPr>
          <a:grpSpLocks/>
        </xdr:cNvGrpSpPr>
      </xdr:nvGrpSpPr>
      <xdr:grpSpPr bwMode="auto">
        <a:xfrm>
          <a:off x="6246283" y="6573661"/>
          <a:ext cx="189654" cy="181328"/>
          <a:chOff x="1030" y="353"/>
          <a:chExt cx="15" cy="14"/>
        </a:xfrm>
      </xdr:grpSpPr>
      <xdr:sp macro="" textlink="">
        <xdr:nvSpPr>
          <xdr:cNvPr id="114" name="Rectangle 174">
            <a:extLst>
              <a:ext uri="{FF2B5EF4-FFF2-40B4-BE49-F238E27FC236}">
                <a16:creationId xmlns:a16="http://schemas.microsoft.com/office/drawing/2014/main" id="{E075D165-9F77-78EC-C56F-B6F71443F66D}"/>
              </a:ext>
            </a:extLst>
          </xdr:cNvPr>
          <xdr:cNvSpPr>
            <a:spLocks noChangeArrowheads="1"/>
          </xdr:cNvSpPr>
        </xdr:nvSpPr>
        <xdr:spPr bwMode="auto">
          <a:xfrm>
            <a:off x="1030" y="353"/>
            <a:ext cx="15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grpSp>
        <xdr:nvGrpSpPr>
          <xdr:cNvPr id="115" name="Group 175">
            <a:extLst>
              <a:ext uri="{FF2B5EF4-FFF2-40B4-BE49-F238E27FC236}">
                <a16:creationId xmlns:a16="http://schemas.microsoft.com/office/drawing/2014/main" id="{C2C70494-D639-FABB-9FDA-78CA104A8D0D}"/>
              </a:ext>
            </a:extLst>
          </xdr:cNvPr>
          <xdr:cNvGrpSpPr>
            <a:grpSpLocks/>
          </xdr:cNvGrpSpPr>
        </xdr:nvGrpSpPr>
        <xdr:grpSpPr bwMode="auto">
          <a:xfrm>
            <a:off x="1033" y="356"/>
            <a:ext cx="10" cy="9"/>
            <a:chOff x="451" y="899"/>
            <a:chExt cx="37" cy="37"/>
          </a:xfrm>
        </xdr:grpSpPr>
        <xdr:sp macro="" textlink="">
          <xdr:nvSpPr>
            <xdr:cNvPr id="116" name="Rectangle 176">
              <a:extLst>
                <a:ext uri="{FF2B5EF4-FFF2-40B4-BE49-F238E27FC236}">
                  <a16:creationId xmlns:a16="http://schemas.microsoft.com/office/drawing/2014/main" id="{480F4346-C505-8D11-FA2B-9F52E1D19838}"/>
                </a:ext>
              </a:extLst>
            </xdr:cNvPr>
            <xdr:cNvSpPr>
              <a:spLocks noChangeArrowheads="1"/>
            </xdr:cNvSpPr>
          </xdr:nvSpPr>
          <xdr:spPr bwMode="auto">
            <a:xfrm rot="2665277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  <xdr:sp macro="" textlink="">
          <xdr:nvSpPr>
            <xdr:cNvPr id="117" name="Rectangle 177">
              <a:extLst>
                <a:ext uri="{FF2B5EF4-FFF2-40B4-BE49-F238E27FC236}">
                  <a16:creationId xmlns:a16="http://schemas.microsoft.com/office/drawing/2014/main" id="{AF8BCCC1-A312-9A96-55B2-D50A0BCA0E21}"/>
                </a:ext>
              </a:extLst>
            </xdr:cNvPr>
            <xdr:cNvSpPr>
              <a:spLocks noChangeArrowheads="1"/>
            </xdr:cNvSpPr>
          </xdr:nvSpPr>
          <xdr:spPr bwMode="auto">
            <a:xfrm rot="-2734724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57</xdr:col>
      <xdr:colOff>133350</xdr:colOff>
      <xdr:row>37</xdr:row>
      <xdr:rowOff>114300</xdr:rowOff>
    </xdr:from>
    <xdr:to>
      <xdr:col>59</xdr:col>
      <xdr:colOff>12700</xdr:colOff>
      <xdr:row>38</xdr:row>
      <xdr:rowOff>139700</xdr:rowOff>
    </xdr:to>
    <xdr:grpSp>
      <xdr:nvGrpSpPr>
        <xdr:cNvPr id="118" name="Group 178">
          <a:extLst>
            <a:ext uri="{FF2B5EF4-FFF2-40B4-BE49-F238E27FC236}">
              <a16:creationId xmlns:a16="http://schemas.microsoft.com/office/drawing/2014/main" id="{0205A773-C82A-445C-87AF-12E9BAFFE630}"/>
            </a:ext>
          </a:extLst>
        </xdr:cNvPr>
        <xdr:cNvGrpSpPr>
          <a:grpSpLocks/>
        </xdr:cNvGrpSpPr>
      </xdr:nvGrpSpPr>
      <xdr:grpSpPr bwMode="auto">
        <a:xfrm>
          <a:off x="8642350" y="6118578"/>
          <a:ext cx="175683" cy="187678"/>
          <a:chOff x="1030" y="353"/>
          <a:chExt cx="15" cy="14"/>
        </a:xfrm>
      </xdr:grpSpPr>
      <xdr:sp macro="" textlink="">
        <xdr:nvSpPr>
          <xdr:cNvPr id="119" name="Rectangle 179">
            <a:extLst>
              <a:ext uri="{FF2B5EF4-FFF2-40B4-BE49-F238E27FC236}">
                <a16:creationId xmlns:a16="http://schemas.microsoft.com/office/drawing/2014/main" id="{5431FC33-FDCD-7E45-B290-DE8DAC974FB2}"/>
              </a:ext>
            </a:extLst>
          </xdr:cNvPr>
          <xdr:cNvSpPr>
            <a:spLocks noChangeArrowheads="1"/>
          </xdr:cNvSpPr>
        </xdr:nvSpPr>
        <xdr:spPr bwMode="auto">
          <a:xfrm>
            <a:off x="1030" y="353"/>
            <a:ext cx="15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grpSp>
        <xdr:nvGrpSpPr>
          <xdr:cNvPr id="120" name="Group 180">
            <a:extLst>
              <a:ext uri="{FF2B5EF4-FFF2-40B4-BE49-F238E27FC236}">
                <a16:creationId xmlns:a16="http://schemas.microsoft.com/office/drawing/2014/main" id="{6060E61A-6F07-7419-F7DC-DA7FC2258D83}"/>
              </a:ext>
            </a:extLst>
          </xdr:cNvPr>
          <xdr:cNvGrpSpPr>
            <a:grpSpLocks/>
          </xdr:cNvGrpSpPr>
        </xdr:nvGrpSpPr>
        <xdr:grpSpPr bwMode="auto">
          <a:xfrm>
            <a:off x="1033" y="356"/>
            <a:ext cx="10" cy="9"/>
            <a:chOff x="451" y="899"/>
            <a:chExt cx="37" cy="37"/>
          </a:xfrm>
        </xdr:grpSpPr>
        <xdr:sp macro="" textlink="">
          <xdr:nvSpPr>
            <xdr:cNvPr id="121" name="Rectangle 181">
              <a:extLst>
                <a:ext uri="{FF2B5EF4-FFF2-40B4-BE49-F238E27FC236}">
                  <a16:creationId xmlns:a16="http://schemas.microsoft.com/office/drawing/2014/main" id="{6632E566-DA47-5A9D-372A-17BC51837B34}"/>
                </a:ext>
              </a:extLst>
            </xdr:cNvPr>
            <xdr:cNvSpPr>
              <a:spLocks noChangeArrowheads="1"/>
            </xdr:cNvSpPr>
          </xdr:nvSpPr>
          <xdr:spPr bwMode="auto">
            <a:xfrm rot="2665277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  <xdr:sp macro="" textlink="">
          <xdr:nvSpPr>
            <xdr:cNvPr id="122" name="Rectangle 182">
              <a:extLst>
                <a:ext uri="{FF2B5EF4-FFF2-40B4-BE49-F238E27FC236}">
                  <a16:creationId xmlns:a16="http://schemas.microsoft.com/office/drawing/2014/main" id="{EAA73203-45A7-4EC9-8676-A2F8007FC0C2}"/>
                </a:ext>
              </a:extLst>
            </xdr:cNvPr>
            <xdr:cNvSpPr>
              <a:spLocks noChangeArrowheads="1"/>
            </xdr:cNvSpPr>
          </xdr:nvSpPr>
          <xdr:spPr bwMode="auto">
            <a:xfrm rot="-2734724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49</xdr:col>
      <xdr:colOff>133350</xdr:colOff>
      <xdr:row>40</xdr:row>
      <xdr:rowOff>82550</xdr:rowOff>
    </xdr:from>
    <xdr:to>
      <xdr:col>51</xdr:col>
      <xdr:colOff>25400</xdr:colOff>
      <xdr:row>41</xdr:row>
      <xdr:rowOff>114300</xdr:rowOff>
    </xdr:to>
    <xdr:grpSp>
      <xdr:nvGrpSpPr>
        <xdr:cNvPr id="123" name="Group 183">
          <a:extLst>
            <a:ext uri="{FF2B5EF4-FFF2-40B4-BE49-F238E27FC236}">
              <a16:creationId xmlns:a16="http://schemas.microsoft.com/office/drawing/2014/main" id="{BA4FF275-ADB2-4D64-B6E1-717286315A9A}"/>
            </a:ext>
          </a:extLst>
        </xdr:cNvPr>
        <xdr:cNvGrpSpPr>
          <a:grpSpLocks/>
        </xdr:cNvGrpSpPr>
      </xdr:nvGrpSpPr>
      <xdr:grpSpPr bwMode="auto">
        <a:xfrm>
          <a:off x="7457017" y="6573661"/>
          <a:ext cx="188383" cy="194028"/>
          <a:chOff x="1030" y="353"/>
          <a:chExt cx="15" cy="14"/>
        </a:xfrm>
      </xdr:grpSpPr>
      <xdr:sp macro="" textlink="">
        <xdr:nvSpPr>
          <xdr:cNvPr id="124" name="Rectangle 184">
            <a:extLst>
              <a:ext uri="{FF2B5EF4-FFF2-40B4-BE49-F238E27FC236}">
                <a16:creationId xmlns:a16="http://schemas.microsoft.com/office/drawing/2014/main" id="{B898C168-ED10-28E6-96D2-B45E01AE690A}"/>
              </a:ext>
            </a:extLst>
          </xdr:cNvPr>
          <xdr:cNvSpPr>
            <a:spLocks noChangeArrowheads="1"/>
          </xdr:cNvSpPr>
        </xdr:nvSpPr>
        <xdr:spPr bwMode="auto">
          <a:xfrm>
            <a:off x="1030" y="353"/>
            <a:ext cx="15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grpSp>
        <xdr:nvGrpSpPr>
          <xdr:cNvPr id="125" name="Group 185">
            <a:extLst>
              <a:ext uri="{FF2B5EF4-FFF2-40B4-BE49-F238E27FC236}">
                <a16:creationId xmlns:a16="http://schemas.microsoft.com/office/drawing/2014/main" id="{008FD355-DCDE-EFE5-6586-373A585085EC}"/>
              </a:ext>
            </a:extLst>
          </xdr:cNvPr>
          <xdr:cNvGrpSpPr>
            <a:grpSpLocks/>
          </xdr:cNvGrpSpPr>
        </xdr:nvGrpSpPr>
        <xdr:grpSpPr bwMode="auto">
          <a:xfrm>
            <a:off x="1033" y="356"/>
            <a:ext cx="10" cy="9"/>
            <a:chOff x="451" y="899"/>
            <a:chExt cx="37" cy="37"/>
          </a:xfrm>
        </xdr:grpSpPr>
        <xdr:sp macro="" textlink="">
          <xdr:nvSpPr>
            <xdr:cNvPr id="126" name="Rectangle 186">
              <a:extLst>
                <a:ext uri="{FF2B5EF4-FFF2-40B4-BE49-F238E27FC236}">
                  <a16:creationId xmlns:a16="http://schemas.microsoft.com/office/drawing/2014/main" id="{468C2BB6-2131-D1C6-FED6-DA615769232F}"/>
                </a:ext>
              </a:extLst>
            </xdr:cNvPr>
            <xdr:cNvSpPr>
              <a:spLocks noChangeArrowheads="1"/>
            </xdr:cNvSpPr>
          </xdr:nvSpPr>
          <xdr:spPr bwMode="auto">
            <a:xfrm rot="2665277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  <xdr:sp macro="" textlink="">
          <xdr:nvSpPr>
            <xdr:cNvPr id="127" name="Rectangle 187">
              <a:extLst>
                <a:ext uri="{FF2B5EF4-FFF2-40B4-BE49-F238E27FC236}">
                  <a16:creationId xmlns:a16="http://schemas.microsoft.com/office/drawing/2014/main" id="{C34487A1-06B2-126B-D73E-8012A71DBB7E}"/>
                </a:ext>
              </a:extLst>
            </xdr:cNvPr>
            <xdr:cNvSpPr>
              <a:spLocks noChangeArrowheads="1"/>
            </xdr:cNvSpPr>
          </xdr:nvSpPr>
          <xdr:spPr bwMode="auto">
            <a:xfrm rot="-2734724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65</xdr:col>
      <xdr:colOff>95250</xdr:colOff>
      <xdr:row>34</xdr:row>
      <xdr:rowOff>120650</xdr:rowOff>
    </xdr:from>
    <xdr:to>
      <xdr:col>66</xdr:col>
      <xdr:colOff>133350</xdr:colOff>
      <xdr:row>35</xdr:row>
      <xdr:rowOff>152400</xdr:rowOff>
    </xdr:to>
    <xdr:grpSp>
      <xdr:nvGrpSpPr>
        <xdr:cNvPr id="128" name="Group 188">
          <a:extLst>
            <a:ext uri="{FF2B5EF4-FFF2-40B4-BE49-F238E27FC236}">
              <a16:creationId xmlns:a16="http://schemas.microsoft.com/office/drawing/2014/main" id="{663AA6C0-2F37-4F63-849E-E3C17FD37095}"/>
            </a:ext>
          </a:extLst>
        </xdr:cNvPr>
        <xdr:cNvGrpSpPr>
          <a:grpSpLocks/>
        </xdr:cNvGrpSpPr>
      </xdr:nvGrpSpPr>
      <xdr:grpSpPr bwMode="auto">
        <a:xfrm>
          <a:off x="9789583" y="5638094"/>
          <a:ext cx="186267" cy="194028"/>
          <a:chOff x="1030" y="353"/>
          <a:chExt cx="15" cy="14"/>
        </a:xfrm>
      </xdr:grpSpPr>
      <xdr:sp macro="" textlink="">
        <xdr:nvSpPr>
          <xdr:cNvPr id="129" name="Rectangle 189">
            <a:extLst>
              <a:ext uri="{FF2B5EF4-FFF2-40B4-BE49-F238E27FC236}">
                <a16:creationId xmlns:a16="http://schemas.microsoft.com/office/drawing/2014/main" id="{91371BF1-86B2-A7DC-45DB-B928F9534591}"/>
              </a:ext>
            </a:extLst>
          </xdr:cNvPr>
          <xdr:cNvSpPr>
            <a:spLocks noChangeArrowheads="1"/>
          </xdr:cNvSpPr>
        </xdr:nvSpPr>
        <xdr:spPr bwMode="auto">
          <a:xfrm>
            <a:off x="1030" y="353"/>
            <a:ext cx="15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grpSp>
        <xdr:nvGrpSpPr>
          <xdr:cNvPr id="130" name="Group 190">
            <a:extLst>
              <a:ext uri="{FF2B5EF4-FFF2-40B4-BE49-F238E27FC236}">
                <a16:creationId xmlns:a16="http://schemas.microsoft.com/office/drawing/2014/main" id="{B9A23D94-6DBA-60F7-A5E0-42406EBEF862}"/>
              </a:ext>
            </a:extLst>
          </xdr:cNvPr>
          <xdr:cNvGrpSpPr>
            <a:grpSpLocks/>
          </xdr:cNvGrpSpPr>
        </xdr:nvGrpSpPr>
        <xdr:grpSpPr bwMode="auto">
          <a:xfrm>
            <a:off x="1033" y="356"/>
            <a:ext cx="10" cy="9"/>
            <a:chOff x="451" y="899"/>
            <a:chExt cx="37" cy="37"/>
          </a:xfrm>
        </xdr:grpSpPr>
        <xdr:sp macro="" textlink="">
          <xdr:nvSpPr>
            <xdr:cNvPr id="131" name="Rectangle 191">
              <a:extLst>
                <a:ext uri="{FF2B5EF4-FFF2-40B4-BE49-F238E27FC236}">
                  <a16:creationId xmlns:a16="http://schemas.microsoft.com/office/drawing/2014/main" id="{F3A20163-B8B5-29D3-2C28-86A3EF6A6614}"/>
                </a:ext>
              </a:extLst>
            </xdr:cNvPr>
            <xdr:cNvSpPr>
              <a:spLocks noChangeArrowheads="1"/>
            </xdr:cNvSpPr>
          </xdr:nvSpPr>
          <xdr:spPr bwMode="auto">
            <a:xfrm rot="2665277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  <xdr:sp macro="" textlink="">
          <xdr:nvSpPr>
            <xdr:cNvPr id="132" name="Rectangle 192">
              <a:extLst>
                <a:ext uri="{FF2B5EF4-FFF2-40B4-BE49-F238E27FC236}">
                  <a16:creationId xmlns:a16="http://schemas.microsoft.com/office/drawing/2014/main" id="{75078831-398C-B6A4-01DE-EAA81222E939}"/>
                </a:ext>
              </a:extLst>
            </xdr:cNvPr>
            <xdr:cNvSpPr>
              <a:spLocks noChangeArrowheads="1"/>
            </xdr:cNvSpPr>
          </xdr:nvSpPr>
          <xdr:spPr bwMode="auto">
            <a:xfrm rot="-2734724">
              <a:off x="451" y="913"/>
              <a:ext cx="37" cy="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127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</xdr:spPr>
        </xdr:sp>
      </xdr:grpSp>
    </xdr:grpSp>
    <xdr:clientData/>
  </xdr:twoCellAnchor>
  <xdr:oneCellAnchor>
    <xdr:from>
      <xdr:col>2</xdr:col>
      <xdr:colOff>45001</xdr:colOff>
      <xdr:row>33</xdr:row>
      <xdr:rowOff>107950</xdr:rowOff>
    </xdr:from>
    <xdr:ext cx="36997" cy="111505"/>
    <xdr:sp macro="" textlink="#REF!">
      <xdr:nvSpPr>
        <xdr:cNvPr id="133" name="Text Box 5000">
          <a:extLst>
            <a:ext uri="{FF2B5EF4-FFF2-40B4-BE49-F238E27FC236}">
              <a16:creationId xmlns:a16="http://schemas.microsoft.com/office/drawing/2014/main" id="{FEAD6887-429F-4F2B-A454-18DEF68C9BDC}"/>
            </a:ext>
          </a:extLst>
        </xdr:cNvPr>
        <xdr:cNvSpPr txBox="1">
          <a:spLocks noChangeArrowheads="1" noTextEdit="1"/>
        </xdr:cNvSpPr>
      </xdr:nvSpPr>
      <xdr:spPr bwMode="auto">
        <a:xfrm>
          <a:off x="334561" y="5632450"/>
          <a:ext cx="36997" cy="111505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fld id="{6DFF8964-BF7F-4C26-8DEA-BDF918355C1C}" type="TxLink"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​</a:t>
          </a:fld>
          <a:endParaRPr lang="en-US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0</xdr:col>
      <xdr:colOff>31749</xdr:colOff>
      <xdr:row>31</xdr:row>
      <xdr:rowOff>63500</xdr:rowOff>
    </xdr:from>
    <xdr:to>
      <xdr:col>25</xdr:col>
      <xdr:colOff>8466</xdr:colOff>
      <xdr:row>56</xdr:row>
      <xdr:rowOff>110066</xdr:rowOff>
    </xdr:to>
    <xdr:sp macro="" textlink="">
      <xdr:nvSpPr>
        <xdr:cNvPr id="134" name="Freeform 5212">
          <a:extLst>
            <a:ext uri="{FF2B5EF4-FFF2-40B4-BE49-F238E27FC236}">
              <a16:creationId xmlns:a16="http://schemas.microsoft.com/office/drawing/2014/main" id="{BD9D8BEF-3BA8-4474-AFAB-30A4C3C38DED}"/>
            </a:ext>
          </a:extLst>
        </xdr:cNvPr>
        <xdr:cNvSpPr>
          <a:spLocks/>
        </xdr:cNvSpPr>
      </xdr:nvSpPr>
      <xdr:spPr bwMode="auto">
        <a:xfrm>
          <a:off x="31749" y="5252720"/>
          <a:ext cx="3664797" cy="4222326"/>
        </a:xfrm>
        <a:custGeom>
          <a:avLst/>
          <a:gdLst>
            <a:gd name="T0" fmla="*/ 3956050 w 286"/>
            <a:gd name="T1" fmla="*/ 1109678 h 210"/>
            <a:gd name="T2" fmla="*/ 2240840 w 286"/>
            <a:gd name="T3" fmla="*/ 1109678 h 210"/>
            <a:gd name="T4" fmla="*/ 2240840 w 286"/>
            <a:gd name="T5" fmla="*/ 0 h 210"/>
            <a:gd name="T6" fmla="*/ 0 w 286"/>
            <a:gd name="T7" fmla="*/ 0 h 210"/>
            <a:gd name="T8" fmla="*/ 0 w 286"/>
            <a:gd name="T9" fmla="*/ 3949700 h 210"/>
            <a:gd name="T10" fmla="*/ 3956050 w 286"/>
            <a:gd name="T11" fmla="*/ 3949700 h 210"/>
            <a:gd name="T12" fmla="*/ 3956050 w 286"/>
            <a:gd name="T13" fmla="*/ 1109678 h 210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0" t="0" r="r" b="b"/>
          <a:pathLst>
            <a:path w="286" h="210">
              <a:moveTo>
                <a:pt x="286" y="59"/>
              </a:moveTo>
              <a:lnTo>
                <a:pt x="162" y="59"/>
              </a:lnTo>
              <a:lnTo>
                <a:pt x="162" y="0"/>
              </a:lnTo>
              <a:lnTo>
                <a:pt x="0" y="0"/>
              </a:lnTo>
              <a:lnTo>
                <a:pt x="0" y="210"/>
              </a:lnTo>
              <a:lnTo>
                <a:pt x="286" y="210"/>
              </a:lnTo>
              <a:lnTo>
                <a:pt x="286" y="59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25</xdr:col>
      <xdr:colOff>19050</xdr:colOff>
      <xdr:row>39</xdr:row>
      <xdr:rowOff>76200</xdr:rowOff>
    </xdr:from>
    <xdr:to>
      <xdr:col>78</xdr:col>
      <xdr:colOff>120650</xdr:colOff>
      <xdr:row>56</xdr:row>
      <xdr:rowOff>107950</xdr:rowOff>
    </xdr:to>
    <xdr:sp macro="" textlink="">
      <xdr:nvSpPr>
        <xdr:cNvPr id="135" name="Freeform 5218">
          <a:extLst>
            <a:ext uri="{FF2B5EF4-FFF2-40B4-BE49-F238E27FC236}">
              <a16:creationId xmlns:a16="http://schemas.microsoft.com/office/drawing/2014/main" id="{EEF52A8D-9175-4188-B9A6-F4EC849A95DD}"/>
            </a:ext>
          </a:extLst>
        </xdr:cNvPr>
        <xdr:cNvSpPr>
          <a:spLocks/>
        </xdr:cNvSpPr>
      </xdr:nvSpPr>
      <xdr:spPr bwMode="auto">
        <a:xfrm>
          <a:off x="3707130" y="6598920"/>
          <a:ext cx="7774940" cy="2874010"/>
        </a:xfrm>
        <a:custGeom>
          <a:avLst/>
          <a:gdLst>
            <a:gd name="T0" fmla="*/ 0 w 858"/>
            <a:gd name="T1" fmla="*/ 2736850 h 291"/>
            <a:gd name="T2" fmla="*/ 8515350 w 858"/>
            <a:gd name="T3" fmla="*/ 2736850 h 291"/>
            <a:gd name="T4" fmla="*/ 8515350 w 858"/>
            <a:gd name="T5" fmla="*/ 1109788 h 291"/>
            <a:gd name="T6" fmla="*/ 6183057 w 858"/>
            <a:gd name="T7" fmla="*/ 1109788 h 291"/>
            <a:gd name="T8" fmla="*/ 6183057 w 858"/>
            <a:gd name="T9" fmla="*/ 968713 h 291"/>
            <a:gd name="T10" fmla="*/ 4585188 w 858"/>
            <a:gd name="T11" fmla="*/ 968713 h 291"/>
            <a:gd name="T12" fmla="*/ 4585188 w 858"/>
            <a:gd name="T13" fmla="*/ 507869 h 291"/>
            <a:gd name="T14" fmla="*/ 1836060 w 858"/>
            <a:gd name="T15" fmla="*/ 507869 h 291"/>
            <a:gd name="T16" fmla="*/ 1836060 w 858"/>
            <a:gd name="T17" fmla="*/ 0 h 291"/>
            <a:gd name="T18" fmla="*/ 0 w 858"/>
            <a:gd name="T19" fmla="*/ 0 h 291"/>
            <a:gd name="T20" fmla="*/ 0 w 858"/>
            <a:gd name="T21" fmla="*/ 2736850 h 291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</a:gdLst>
          <a:ahLst/>
          <a:cxnLst>
            <a:cxn ang="T22">
              <a:pos x="T0" y="T1"/>
            </a:cxn>
            <a:cxn ang="T23">
              <a:pos x="T2" y="T3"/>
            </a:cxn>
            <a:cxn ang="T24">
              <a:pos x="T4" y="T5"/>
            </a:cxn>
            <a:cxn ang="T25">
              <a:pos x="T6" y="T7"/>
            </a:cxn>
            <a:cxn ang="T26">
              <a:pos x="T8" y="T9"/>
            </a:cxn>
            <a:cxn ang="T27">
              <a:pos x="T10" y="T11"/>
            </a:cxn>
            <a:cxn ang="T28">
              <a:pos x="T12" y="T13"/>
            </a:cxn>
            <a:cxn ang="T29">
              <a:pos x="T14" y="T15"/>
            </a:cxn>
            <a:cxn ang="T30">
              <a:pos x="T16" y="T17"/>
            </a:cxn>
            <a:cxn ang="T31">
              <a:pos x="T18" y="T19"/>
            </a:cxn>
            <a:cxn ang="T32">
              <a:pos x="T20" y="T21"/>
            </a:cxn>
          </a:cxnLst>
          <a:rect l="0" t="0" r="r" b="b"/>
          <a:pathLst>
            <a:path w="858" h="291">
              <a:moveTo>
                <a:pt x="0" y="291"/>
              </a:moveTo>
              <a:lnTo>
                <a:pt x="858" y="291"/>
              </a:lnTo>
              <a:lnTo>
                <a:pt x="858" y="118"/>
              </a:lnTo>
              <a:lnTo>
                <a:pt x="623" y="118"/>
              </a:lnTo>
              <a:lnTo>
                <a:pt x="623" y="103"/>
              </a:lnTo>
              <a:lnTo>
                <a:pt x="462" y="103"/>
              </a:lnTo>
              <a:lnTo>
                <a:pt x="462" y="54"/>
              </a:lnTo>
              <a:lnTo>
                <a:pt x="185" y="54"/>
              </a:lnTo>
              <a:lnTo>
                <a:pt x="185" y="0"/>
              </a:lnTo>
              <a:lnTo>
                <a:pt x="0" y="0"/>
              </a:lnTo>
              <a:lnTo>
                <a:pt x="0" y="291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34</xdr:col>
      <xdr:colOff>69850</xdr:colOff>
      <xdr:row>56</xdr:row>
      <xdr:rowOff>0</xdr:rowOff>
    </xdr:from>
    <xdr:to>
      <xdr:col>44</xdr:col>
      <xdr:colOff>12700</xdr:colOff>
      <xdr:row>57</xdr:row>
      <xdr:rowOff>114300</xdr:rowOff>
    </xdr:to>
    <xdr:sp macro="" textlink="">
      <xdr:nvSpPr>
        <xdr:cNvPr id="136" name="AutoShape 4740">
          <a:extLst>
            <a:ext uri="{FF2B5EF4-FFF2-40B4-BE49-F238E27FC236}">
              <a16:creationId xmlns:a16="http://schemas.microsoft.com/office/drawing/2014/main" id="{E9592332-4D84-4AF4-9181-20150446E1A9}"/>
            </a:ext>
          </a:extLst>
        </xdr:cNvPr>
        <xdr:cNvSpPr>
          <a:spLocks noChangeArrowheads="1"/>
        </xdr:cNvSpPr>
      </xdr:nvSpPr>
      <xdr:spPr bwMode="auto">
        <a:xfrm>
          <a:off x="5060950" y="9364980"/>
          <a:ext cx="1390650" cy="274320"/>
        </a:xfrm>
        <a:prstGeom prst="ribbon2">
          <a:avLst>
            <a:gd name="adj1" fmla="val 12500"/>
            <a:gd name="adj2" fmla="val 6322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Halaman 1 dari 2</a:t>
          </a:r>
        </a:p>
      </xdr:txBody>
    </xdr:sp>
    <xdr:clientData/>
  </xdr:twoCellAnchor>
  <xdr:twoCellAnchor>
    <xdr:from>
      <xdr:col>0</xdr:col>
      <xdr:colOff>38100</xdr:colOff>
      <xdr:row>6</xdr:row>
      <xdr:rowOff>139700</xdr:rowOff>
    </xdr:from>
    <xdr:to>
      <xdr:col>20</xdr:col>
      <xdr:colOff>127000</xdr:colOff>
      <xdr:row>10</xdr:row>
      <xdr:rowOff>101600</xdr:rowOff>
    </xdr:to>
    <xdr:sp macro="" textlink="">
      <xdr:nvSpPr>
        <xdr:cNvPr id="137" name="Rectangle 70">
          <a:extLst>
            <a:ext uri="{FF2B5EF4-FFF2-40B4-BE49-F238E27FC236}">
              <a16:creationId xmlns:a16="http://schemas.microsoft.com/office/drawing/2014/main" id="{AB07EB02-25A7-4DA7-A9D8-03C8E7D27B61}"/>
            </a:ext>
          </a:extLst>
        </xdr:cNvPr>
        <xdr:cNvSpPr>
          <a:spLocks noChangeArrowheads="1"/>
        </xdr:cNvSpPr>
      </xdr:nvSpPr>
      <xdr:spPr bwMode="auto">
        <a:xfrm>
          <a:off x="38100" y="1137920"/>
          <a:ext cx="2984500" cy="632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800"/>
            </a:lnSpc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38100</xdr:colOff>
      <xdr:row>23</xdr:row>
      <xdr:rowOff>25400</xdr:rowOff>
    </xdr:from>
    <xdr:to>
      <xdr:col>6</xdr:col>
      <xdr:colOff>139700</xdr:colOff>
      <xdr:row>30</xdr:row>
      <xdr:rowOff>133350</xdr:rowOff>
    </xdr:to>
    <xdr:sp macro="" textlink="">
      <xdr:nvSpPr>
        <xdr:cNvPr id="138" name="Rectangle 72">
          <a:extLst>
            <a:ext uri="{FF2B5EF4-FFF2-40B4-BE49-F238E27FC236}">
              <a16:creationId xmlns:a16="http://schemas.microsoft.com/office/drawing/2014/main" id="{F04125C0-5698-4204-A63B-348BFC6D2D3D}"/>
            </a:ext>
          </a:extLst>
        </xdr:cNvPr>
        <xdr:cNvSpPr>
          <a:spLocks noChangeArrowheads="1"/>
        </xdr:cNvSpPr>
      </xdr:nvSpPr>
      <xdr:spPr bwMode="auto">
        <a:xfrm>
          <a:off x="38100" y="3873500"/>
          <a:ext cx="970280" cy="12814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38100</xdr:colOff>
      <xdr:row>12</xdr:row>
      <xdr:rowOff>19050</xdr:rowOff>
    </xdr:from>
    <xdr:to>
      <xdr:col>6</xdr:col>
      <xdr:colOff>139700</xdr:colOff>
      <xdr:row>19</xdr:row>
      <xdr:rowOff>44450</xdr:rowOff>
    </xdr:to>
    <xdr:sp macro="" textlink="">
      <xdr:nvSpPr>
        <xdr:cNvPr id="139" name="Rectangle 73">
          <a:extLst>
            <a:ext uri="{FF2B5EF4-FFF2-40B4-BE49-F238E27FC236}">
              <a16:creationId xmlns:a16="http://schemas.microsoft.com/office/drawing/2014/main" id="{2AE81B0F-B70E-45FB-8E1D-41F262BF812A}"/>
            </a:ext>
          </a:extLst>
        </xdr:cNvPr>
        <xdr:cNvSpPr>
          <a:spLocks noChangeArrowheads="1"/>
        </xdr:cNvSpPr>
      </xdr:nvSpPr>
      <xdr:spPr bwMode="auto">
        <a:xfrm>
          <a:off x="38100" y="2023110"/>
          <a:ext cx="970280" cy="11988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57150</xdr:colOff>
      <xdr:row>18</xdr:row>
      <xdr:rowOff>95250</xdr:rowOff>
    </xdr:from>
    <xdr:to>
      <xdr:col>12</xdr:col>
      <xdr:colOff>0</xdr:colOff>
      <xdr:row>23</xdr:row>
      <xdr:rowOff>120650</xdr:rowOff>
    </xdr:to>
    <xdr:sp macro="" textlink="">
      <xdr:nvSpPr>
        <xdr:cNvPr id="140" name="Rectangle 79">
          <a:extLst>
            <a:ext uri="{FF2B5EF4-FFF2-40B4-BE49-F238E27FC236}">
              <a16:creationId xmlns:a16="http://schemas.microsoft.com/office/drawing/2014/main" id="{3307A468-10C2-4E5F-97BC-7EE57F9FF314}"/>
            </a:ext>
          </a:extLst>
        </xdr:cNvPr>
        <xdr:cNvSpPr>
          <a:spLocks noChangeArrowheads="1"/>
        </xdr:cNvSpPr>
      </xdr:nvSpPr>
      <xdr:spPr bwMode="auto">
        <a:xfrm>
          <a:off x="1070610" y="3105150"/>
          <a:ext cx="666750" cy="86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50800</xdr:colOff>
      <xdr:row>13</xdr:row>
      <xdr:rowOff>95250</xdr:rowOff>
    </xdr:from>
    <xdr:to>
      <xdr:col>23</xdr:col>
      <xdr:colOff>158750</xdr:colOff>
      <xdr:row>15</xdr:row>
      <xdr:rowOff>133350</xdr:rowOff>
    </xdr:to>
    <xdr:sp macro="" textlink="">
      <xdr:nvSpPr>
        <xdr:cNvPr id="141" name="Rectangle 81">
          <a:extLst>
            <a:ext uri="{FF2B5EF4-FFF2-40B4-BE49-F238E27FC236}">
              <a16:creationId xmlns:a16="http://schemas.microsoft.com/office/drawing/2014/main" id="{288E5055-9A9E-4540-BE90-DC9A7BDD84CC}"/>
            </a:ext>
          </a:extLst>
        </xdr:cNvPr>
        <xdr:cNvSpPr>
          <a:spLocks noChangeArrowheads="1"/>
        </xdr:cNvSpPr>
      </xdr:nvSpPr>
      <xdr:spPr bwMode="auto">
        <a:xfrm>
          <a:off x="2801620" y="2266950"/>
          <a:ext cx="70993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54</xdr:col>
      <xdr:colOff>57150</xdr:colOff>
      <xdr:row>41</xdr:row>
      <xdr:rowOff>133350</xdr:rowOff>
    </xdr:from>
    <xdr:to>
      <xdr:col>70</xdr:col>
      <xdr:colOff>139700</xdr:colOff>
      <xdr:row>45</xdr:row>
      <xdr:rowOff>63500</xdr:rowOff>
    </xdr:to>
    <xdr:sp macro="" textlink="">
      <xdr:nvSpPr>
        <xdr:cNvPr id="142" name="Rectangle 50">
          <a:extLst>
            <a:ext uri="{FF2B5EF4-FFF2-40B4-BE49-F238E27FC236}">
              <a16:creationId xmlns:a16="http://schemas.microsoft.com/office/drawing/2014/main" id="{FBB48FA1-124F-43F6-B8F1-1F4EFB24B22E}"/>
            </a:ext>
          </a:extLst>
        </xdr:cNvPr>
        <xdr:cNvSpPr>
          <a:spLocks noChangeArrowheads="1"/>
        </xdr:cNvSpPr>
      </xdr:nvSpPr>
      <xdr:spPr bwMode="auto">
        <a:xfrm>
          <a:off x="7943850" y="6991350"/>
          <a:ext cx="2399030" cy="6007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lnSpc>
              <a:spcPts val="1100"/>
            </a:lnSpc>
            <a:defRPr sz="1000"/>
          </a:pPr>
          <a:endParaRPr lang="en-US" sz="1000" b="1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39</xdr:col>
      <xdr:colOff>69850</xdr:colOff>
      <xdr:row>14</xdr:row>
      <xdr:rowOff>95250</xdr:rowOff>
    </xdr:from>
    <xdr:to>
      <xdr:col>57</xdr:col>
      <xdr:colOff>107950</xdr:colOff>
      <xdr:row>23</xdr:row>
      <xdr:rowOff>63500</xdr:rowOff>
    </xdr:to>
    <xdr:sp macro="" textlink="">
      <xdr:nvSpPr>
        <xdr:cNvPr id="143" name="Rectangle 141">
          <a:extLst>
            <a:ext uri="{FF2B5EF4-FFF2-40B4-BE49-F238E27FC236}">
              <a16:creationId xmlns:a16="http://schemas.microsoft.com/office/drawing/2014/main" id="{ACB1F5F4-128E-4837-841C-A643B4387A1F}"/>
            </a:ext>
          </a:extLst>
        </xdr:cNvPr>
        <xdr:cNvSpPr>
          <a:spLocks noChangeArrowheads="1"/>
        </xdr:cNvSpPr>
      </xdr:nvSpPr>
      <xdr:spPr bwMode="auto">
        <a:xfrm>
          <a:off x="5784850" y="2434590"/>
          <a:ext cx="2644140" cy="14770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105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60</xdr:col>
      <xdr:colOff>12700</xdr:colOff>
      <xdr:row>14</xdr:row>
      <xdr:rowOff>76200</xdr:rowOff>
    </xdr:from>
    <xdr:to>
      <xdr:col>78</xdr:col>
      <xdr:colOff>50800</xdr:colOff>
      <xdr:row>23</xdr:row>
      <xdr:rowOff>63500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2BE4DFD5-8F3F-4E14-AE5F-3E01289360E4}"/>
            </a:ext>
          </a:extLst>
        </xdr:cNvPr>
        <xdr:cNvSpPr>
          <a:spLocks noChangeArrowheads="1"/>
        </xdr:cNvSpPr>
      </xdr:nvSpPr>
      <xdr:spPr bwMode="auto">
        <a:xfrm>
          <a:off x="8768080" y="2415540"/>
          <a:ext cx="2644140" cy="14960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71</xdr:col>
      <xdr:colOff>19050</xdr:colOff>
      <xdr:row>29</xdr:row>
      <xdr:rowOff>44450</xdr:rowOff>
    </xdr:from>
    <xdr:to>
      <xdr:col>78</xdr:col>
      <xdr:colOff>50800</xdr:colOff>
      <xdr:row>33</xdr:row>
      <xdr:rowOff>101600</xdr:rowOff>
    </xdr:to>
    <xdr:sp macro="" textlink="">
      <xdr:nvSpPr>
        <xdr:cNvPr id="145" name="Rectangle 161">
          <a:extLst>
            <a:ext uri="{FF2B5EF4-FFF2-40B4-BE49-F238E27FC236}">
              <a16:creationId xmlns:a16="http://schemas.microsoft.com/office/drawing/2014/main" id="{2C87A1F6-ECF6-4B9E-B8FA-79488C132BB4}"/>
            </a:ext>
          </a:extLst>
        </xdr:cNvPr>
        <xdr:cNvSpPr>
          <a:spLocks noChangeArrowheads="1"/>
        </xdr:cNvSpPr>
      </xdr:nvSpPr>
      <xdr:spPr bwMode="auto">
        <a:xfrm>
          <a:off x="10367010" y="4898390"/>
          <a:ext cx="1045210" cy="7277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71</xdr:col>
      <xdr:colOff>31750</xdr:colOff>
      <xdr:row>34</xdr:row>
      <xdr:rowOff>25400</xdr:rowOff>
    </xdr:from>
    <xdr:to>
      <xdr:col>78</xdr:col>
      <xdr:colOff>57150</xdr:colOff>
      <xdr:row>39</xdr:row>
      <xdr:rowOff>6350</xdr:rowOff>
    </xdr:to>
    <xdr:sp macro="" textlink="">
      <xdr:nvSpPr>
        <xdr:cNvPr id="146" name="Rectangle 164">
          <a:extLst>
            <a:ext uri="{FF2B5EF4-FFF2-40B4-BE49-F238E27FC236}">
              <a16:creationId xmlns:a16="http://schemas.microsoft.com/office/drawing/2014/main" id="{C9BFC5B5-19ED-4F8B-B817-6431DDA9097B}"/>
            </a:ext>
          </a:extLst>
        </xdr:cNvPr>
        <xdr:cNvSpPr>
          <a:spLocks noChangeArrowheads="1"/>
        </xdr:cNvSpPr>
      </xdr:nvSpPr>
      <xdr:spPr bwMode="auto">
        <a:xfrm>
          <a:off x="10379710" y="5717540"/>
          <a:ext cx="1038860" cy="8115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71</xdr:col>
      <xdr:colOff>31750</xdr:colOff>
      <xdr:row>39</xdr:row>
      <xdr:rowOff>139700</xdr:rowOff>
    </xdr:from>
    <xdr:to>
      <xdr:col>78</xdr:col>
      <xdr:colOff>57150</xdr:colOff>
      <xdr:row>45</xdr:row>
      <xdr:rowOff>0</xdr:rowOff>
    </xdr:to>
    <xdr:sp macro="" textlink="">
      <xdr:nvSpPr>
        <xdr:cNvPr id="147" name="Rectangle 165">
          <a:extLst>
            <a:ext uri="{FF2B5EF4-FFF2-40B4-BE49-F238E27FC236}">
              <a16:creationId xmlns:a16="http://schemas.microsoft.com/office/drawing/2014/main" id="{3D8EB5E2-B91E-4D37-A09F-3755CB0E7697}"/>
            </a:ext>
          </a:extLst>
        </xdr:cNvPr>
        <xdr:cNvSpPr>
          <a:spLocks noChangeArrowheads="1"/>
        </xdr:cNvSpPr>
      </xdr:nvSpPr>
      <xdr:spPr bwMode="auto">
        <a:xfrm>
          <a:off x="10379710" y="6662420"/>
          <a:ext cx="1038860" cy="8661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88900</xdr:colOff>
      <xdr:row>19</xdr:row>
      <xdr:rowOff>139700</xdr:rowOff>
    </xdr:from>
    <xdr:to>
      <xdr:col>31</xdr:col>
      <xdr:colOff>88900</xdr:colOff>
      <xdr:row>22</xdr:row>
      <xdr:rowOff>6350</xdr:rowOff>
    </xdr:to>
    <xdr:sp macro="" textlink="">
      <xdr:nvSpPr>
        <xdr:cNvPr id="148" name="Line 5223">
          <a:extLst>
            <a:ext uri="{FF2B5EF4-FFF2-40B4-BE49-F238E27FC236}">
              <a16:creationId xmlns:a16="http://schemas.microsoft.com/office/drawing/2014/main" id="{C2D316D7-8494-4F54-8FE0-0C2B7003FECA}"/>
            </a:ext>
          </a:extLst>
        </xdr:cNvPr>
        <xdr:cNvSpPr>
          <a:spLocks noChangeShapeType="1"/>
        </xdr:cNvSpPr>
      </xdr:nvSpPr>
      <xdr:spPr bwMode="auto">
        <a:xfrm flipH="1">
          <a:off x="4645660" y="3317240"/>
          <a:ext cx="0" cy="36957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14</xdr:row>
      <xdr:rowOff>44450</xdr:rowOff>
    </xdr:from>
    <xdr:to>
      <xdr:col>18</xdr:col>
      <xdr:colOff>19050</xdr:colOff>
      <xdr:row>16</xdr:row>
      <xdr:rowOff>82550</xdr:rowOff>
    </xdr:to>
    <xdr:sp macro="" textlink="">
      <xdr:nvSpPr>
        <xdr:cNvPr id="149" name="Rectangle 5226">
          <a:extLst>
            <a:ext uri="{FF2B5EF4-FFF2-40B4-BE49-F238E27FC236}">
              <a16:creationId xmlns:a16="http://schemas.microsoft.com/office/drawing/2014/main" id="{3B731984-9060-40B3-9766-D61046F2FE47}"/>
            </a:ext>
          </a:extLst>
        </xdr:cNvPr>
        <xdr:cNvSpPr>
          <a:spLocks noChangeArrowheads="1"/>
        </xdr:cNvSpPr>
      </xdr:nvSpPr>
      <xdr:spPr bwMode="auto">
        <a:xfrm>
          <a:off x="1920240" y="2383790"/>
          <a:ext cx="70485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38100</xdr:colOff>
      <xdr:row>28</xdr:row>
      <xdr:rowOff>25400</xdr:rowOff>
    </xdr:from>
    <xdr:to>
      <xdr:col>18</xdr:col>
      <xdr:colOff>19050</xdr:colOff>
      <xdr:row>30</xdr:row>
      <xdr:rowOff>63500</xdr:rowOff>
    </xdr:to>
    <xdr:sp macro="" textlink="">
      <xdr:nvSpPr>
        <xdr:cNvPr id="150" name="Rectangle 5228">
          <a:extLst>
            <a:ext uri="{FF2B5EF4-FFF2-40B4-BE49-F238E27FC236}">
              <a16:creationId xmlns:a16="http://schemas.microsoft.com/office/drawing/2014/main" id="{5A1D409B-B5F6-4B3B-9926-98DE36E19D70}"/>
            </a:ext>
          </a:extLst>
        </xdr:cNvPr>
        <xdr:cNvSpPr>
          <a:spLocks noChangeArrowheads="1"/>
        </xdr:cNvSpPr>
      </xdr:nvSpPr>
      <xdr:spPr bwMode="auto">
        <a:xfrm>
          <a:off x="1920240" y="4711700"/>
          <a:ext cx="704850" cy="373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13</xdr:col>
      <xdr:colOff>139700</xdr:colOff>
      <xdr:row>13</xdr:row>
      <xdr:rowOff>44450</xdr:rowOff>
    </xdr:from>
    <xdr:ext cx="571500" cy="146050"/>
    <xdr:sp macro="" textlink="">
      <xdr:nvSpPr>
        <xdr:cNvPr id="151" name="Text Box 5229">
          <a:extLst>
            <a:ext uri="{FF2B5EF4-FFF2-40B4-BE49-F238E27FC236}">
              <a16:creationId xmlns:a16="http://schemas.microsoft.com/office/drawing/2014/main" id="{A9B04DEA-BC69-48CE-8BE5-8206399780C2}"/>
            </a:ext>
          </a:extLst>
        </xdr:cNvPr>
        <xdr:cNvSpPr txBox="1">
          <a:spLocks noChangeArrowheads="1"/>
        </xdr:cNvSpPr>
      </xdr:nvSpPr>
      <xdr:spPr bwMode="auto">
        <a:xfrm>
          <a:off x="2021840" y="2216150"/>
          <a:ext cx="571500" cy="14605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By Problem</a:t>
          </a:r>
        </a:p>
      </xdr:txBody>
    </xdr:sp>
    <xdr:clientData/>
  </xdr:oneCellAnchor>
  <xdr:twoCellAnchor>
    <xdr:from>
      <xdr:col>12</xdr:col>
      <xdr:colOff>88900</xdr:colOff>
      <xdr:row>15</xdr:row>
      <xdr:rowOff>25400</xdr:rowOff>
    </xdr:from>
    <xdr:to>
      <xdr:col>12</xdr:col>
      <xdr:colOff>88900</xdr:colOff>
      <xdr:row>29</xdr:row>
      <xdr:rowOff>76200</xdr:rowOff>
    </xdr:to>
    <xdr:sp macro="" textlink="">
      <xdr:nvSpPr>
        <xdr:cNvPr id="152" name="Line 5232">
          <a:extLst>
            <a:ext uri="{FF2B5EF4-FFF2-40B4-BE49-F238E27FC236}">
              <a16:creationId xmlns:a16="http://schemas.microsoft.com/office/drawing/2014/main" id="{4DDCA987-F9B5-4389-AF19-AB73F8E8D076}"/>
            </a:ext>
          </a:extLst>
        </xdr:cNvPr>
        <xdr:cNvSpPr>
          <a:spLocks noChangeShapeType="1"/>
        </xdr:cNvSpPr>
      </xdr:nvSpPr>
      <xdr:spPr bwMode="auto">
        <a:xfrm>
          <a:off x="1826260" y="2532380"/>
          <a:ext cx="0" cy="2397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88900</xdr:colOff>
      <xdr:row>21</xdr:row>
      <xdr:rowOff>57150</xdr:rowOff>
    </xdr:from>
    <xdr:to>
      <xdr:col>12</xdr:col>
      <xdr:colOff>88900</xdr:colOff>
      <xdr:row>22</xdr:row>
      <xdr:rowOff>76200</xdr:rowOff>
    </xdr:to>
    <xdr:sp macro="" textlink="">
      <xdr:nvSpPr>
        <xdr:cNvPr id="153" name="Line 5236">
          <a:extLst>
            <a:ext uri="{FF2B5EF4-FFF2-40B4-BE49-F238E27FC236}">
              <a16:creationId xmlns:a16="http://schemas.microsoft.com/office/drawing/2014/main" id="{6AB03269-00D3-47FD-A160-7924FA8DC6D7}"/>
            </a:ext>
          </a:extLst>
        </xdr:cNvPr>
        <xdr:cNvSpPr>
          <a:spLocks noChangeShapeType="1"/>
        </xdr:cNvSpPr>
      </xdr:nvSpPr>
      <xdr:spPr bwMode="auto">
        <a:xfrm flipH="1">
          <a:off x="1826260" y="3569970"/>
          <a:ext cx="0" cy="18669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50800</xdr:colOff>
      <xdr:row>20</xdr:row>
      <xdr:rowOff>139700</xdr:rowOff>
    </xdr:from>
    <xdr:to>
      <xdr:col>31</xdr:col>
      <xdr:colOff>0</xdr:colOff>
      <xdr:row>23</xdr:row>
      <xdr:rowOff>44450</xdr:rowOff>
    </xdr:to>
    <xdr:sp macro="" textlink="">
      <xdr:nvSpPr>
        <xdr:cNvPr id="154" name="Rectangle 103">
          <a:extLst>
            <a:ext uri="{FF2B5EF4-FFF2-40B4-BE49-F238E27FC236}">
              <a16:creationId xmlns:a16="http://schemas.microsoft.com/office/drawing/2014/main" id="{A4B92A15-F107-44E4-B4A0-59CA9C7C201F}"/>
            </a:ext>
          </a:extLst>
        </xdr:cNvPr>
        <xdr:cNvSpPr>
          <a:spLocks noChangeArrowheads="1"/>
        </xdr:cNvSpPr>
      </xdr:nvSpPr>
      <xdr:spPr bwMode="auto">
        <a:xfrm>
          <a:off x="3738880" y="3484880"/>
          <a:ext cx="817880" cy="4076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42331</xdr:colOff>
      <xdr:row>1</xdr:row>
      <xdr:rowOff>25400</xdr:rowOff>
    </xdr:from>
    <xdr:to>
      <xdr:col>6</xdr:col>
      <xdr:colOff>93134</xdr:colOff>
      <xdr:row>2</xdr:row>
      <xdr:rowOff>103876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BEA64DB-23A2-4CE9-8E5B-54E317BC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31" y="194733"/>
          <a:ext cx="914403" cy="2393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38100</xdr:rowOff>
    </xdr:from>
    <xdr:to>
      <xdr:col>18</xdr:col>
      <xdr:colOff>50800</xdr:colOff>
      <xdr:row>6</xdr:row>
      <xdr:rowOff>114300</xdr:rowOff>
    </xdr:to>
    <xdr:sp macro="" textlink="">
      <xdr:nvSpPr>
        <xdr:cNvPr id="2" name="Rectangle 237">
          <a:extLst>
            <a:ext uri="{FF2B5EF4-FFF2-40B4-BE49-F238E27FC236}">
              <a16:creationId xmlns:a16="http://schemas.microsoft.com/office/drawing/2014/main" id="{CD9CA688-13FB-40F6-954C-544DC6882668}"/>
            </a:ext>
          </a:extLst>
        </xdr:cNvPr>
        <xdr:cNvSpPr>
          <a:spLocks noChangeArrowheads="1"/>
        </xdr:cNvSpPr>
      </xdr:nvSpPr>
      <xdr:spPr bwMode="auto">
        <a:xfrm>
          <a:off x="114300" y="762000"/>
          <a:ext cx="247396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Step.V &amp; VI Membuat Planing &amp; Countermeasure</a:t>
          </a:r>
        </a:p>
      </xdr:txBody>
    </xdr:sp>
    <xdr:clientData/>
  </xdr:twoCellAnchor>
  <xdr:twoCellAnchor>
    <xdr:from>
      <xdr:col>23</xdr:col>
      <xdr:colOff>139700</xdr:colOff>
      <xdr:row>12</xdr:row>
      <xdr:rowOff>133350</xdr:rowOff>
    </xdr:from>
    <xdr:to>
      <xdr:col>23</xdr:col>
      <xdr:colOff>139700</xdr:colOff>
      <xdr:row>31</xdr:row>
      <xdr:rowOff>114300</xdr:rowOff>
    </xdr:to>
    <xdr:sp macro="" textlink="">
      <xdr:nvSpPr>
        <xdr:cNvPr id="3" name="Line 239">
          <a:extLst>
            <a:ext uri="{FF2B5EF4-FFF2-40B4-BE49-F238E27FC236}">
              <a16:creationId xmlns:a16="http://schemas.microsoft.com/office/drawing/2014/main" id="{23B68DEA-0627-4110-A6B4-A49B4CA6CB15}"/>
            </a:ext>
          </a:extLst>
        </xdr:cNvPr>
        <xdr:cNvSpPr>
          <a:spLocks noChangeShapeType="1"/>
        </xdr:cNvSpPr>
      </xdr:nvSpPr>
      <xdr:spPr bwMode="auto">
        <a:xfrm flipH="1">
          <a:off x="3401060" y="1908810"/>
          <a:ext cx="0" cy="307467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12</xdr:row>
      <xdr:rowOff>133350</xdr:rowOff>
    </xdr:from>
    <xdr:to>
      <xdr:col>6</xdr:col>
      <xdr:colOff>38100</xdr:colOff>
      <xdr:row>33</xdr:row>
      <xdr:rowOff>82550</xdr:rowOff>
    </xdr:to>
    <xdr:sp macro="" textlink="">
      <xdr:nvSpPr>
        <xdr:cNvPr id="4" name="Line 240">
          <a:extLst>
            <a:ext uri="{FF2B5EF4-FFF2-40B4-BE49-F238E27FC236}">
              <a16:creationId xmlns:a16="http://schemas.microsoft.com/office/drawing/2014/main" id="{AD1F0F35-F7CA-4547-A43D-8146240D8B93}"/>
            </a:ext>
          </a:extLst>
        </xdr:cNvPr>
        <xdr:cNvSpPr>
          <a:spLocks noChangeShapeType="1"/>
        </xdr:cNvSpPr>
      </xdr:nvSpPr>
      <xdr:spPr bwMode="auto">
        <a:xfrm>
          <a:off x="838200" y="1908810"/>
          <a:ext cx="0" cy="33782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14</xdr:row>
      <xdr:rowOff>57150</xdr:rowOff>
    </xdr:from>
    <xdr:to>
      <xdr:col>10</xdr:col>
      <xdr:colOff>69850</xdr:colOff>
      <xdr:row>16</xdr:row>
      <xdr:rowOff>133350</xdr:rowOff>
    </xdr:to>
    <xdr:sp macro="" textlink="">
      <xdr:nvSpPr>
        <xdr:cNvPr id="5" name="Rectangle 241">
          <a:extLst>
            <a:ext uri="{FF2B5EF4-FFF2-40B4-BE49-F238E27FC236}">
              <a16:creationId xmlns:a16="http://schemas.microsoft.com/office/drawing/2014/main" id="{E743F957-0A47-4B68-BE95-4CFFBE274312}"/>
            </a:ext>
          </a:extLst>
        </xdr:cNvPr>
        <xdr:cNvSpPr>
          <a:spLocks noChangeArrowheads="1"/>
        </xdr:cNvSpPr>
      </xdr:nvSpPr>
      <xdr:spPr bwMode="auto">
        <a:xfrm>
          <a:off x="240030" y="2152650"/>
          <a:ext cx="1209040" cy="411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19050</xdr:colOff>
      <xdr:row>17</xdr:row>
      <xdr:rowOff>152400</xdr:rowOff>
    </xdr:from>
    <xdr:to>
      <xdr:col>10</xdr:col>
      <xdr:colOff>69850</xdr:colOff>
      <xdr:row>20</xdr:row>
      <xdr:rowOff>114300</xdr:rowOff>
    </xdr:to>
    <xdr:sp macro="" textlink="">
      <xdr:nvSpPr>
        <xdr:cNvPr id="6" name="Rectangle 242">
          <a:extLst>
            <a:ext uri="{FF2B5EF4-FFF2-40B4-BE49-F238E27FC236}">
              <a16:creationId xmlns:a16="http://schemas.microsoft.com/office/drawing/2014/main" id="{0F6D28BE-3C18-401E-A1AD-6D2F19DFBAD1}"/>
            </a:ext>
          </a:extLst>
        </xdr:cNvPr>
        <xdr:cNvSpPr>
          <a:spLocks noChangeArrowheads="1"/>
        </xdr:cNvSpPr>
      </xdr:nvSpPr>
      <xdr:spPr bwMode="auto">
        <a:xfrm>
          <a:off x="240030" y="2750820"/>
          <a:ext cx="1209040" cy="464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19050</xdr:colOff>
      <xdr:row>21</xdr:row>
      <xdr:rowOff>95250</xdr:rowOff>
    </xdr:from>
    <xdr:to>
      <xdr:col>10</xdr:col>
      <xdr:colOff>69850</xdr:colOff>
      <xdr:row>25</xdr:row>
      <xdr:rowOff>38100</xdr:rowOff>
    </xdr:to>
    <xdr:sp macro="" textlink="">
      <xdr:nvSpPr>
        <xdr:cNvPr id="7" name="Rectangle 243">
          <a:extLst>
            <a:ext uri="{FF2B5EF4-FFF2-40B4-BE49-F238E27FC236}">
              <a16:creationId xmlns:a16="http://schemas.microsoft.com/office/drawing/2014/main" id="{3B1A93FC-FC8F-46EC-9671-9998F796C1DE}"/>
            </a:ext>
          </a:extLst>
        </xdr:cNvPr>
        <xdr:cNvSpPr>
          <a:spLocks noChangeArrowheads="1"/>
        </xdr:cNvSpPr>
      </xdr:nvSpPr>
      <xdr:spPr bwMode="auto">
        <a:xfrm>
          <a:off x="240030" y="3364230"/>
          <a:ext cx="1209040" cy="6134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31750</xdr:colOff>
      <xdr:row>12</xdr:row>
      <xdr:rowOff>133350</xdr:rowOff>
    </xdr:from>
    <xdr:to>
      <xdr:col>23</xdr:col>
      <xdr:colOff>146050</xdr:colOff>
      <xdr:row>12</xdr:row>
      <xdr:rowOff>133350</xdr:rowOff>
    </xdr:to>
    <xdr:sp macro="" textlink="">
      <xdr:nvSpPr>
        <xdr:cNvPr id="8" name="Line 244">
          <a:extLst>
            <a:ext uri="{FF2B5EF4-FFF2-40B4-BE49-F238E27FC236}">
              <a16:creationId xmlns:a16="http://schemas.microsoft.com/office/drawing/2014/main" id="{20FD7778-965A-4F58-A166-C1B01864B1CF}"/>
            </a:ext>
          </a:extLst>
        </xdr:cNvPr>
        <xdr:cNvSpPr>
          <a:spLocks noChangeShapeType="1"/>
        </xdr:cNvSpPr>
      </xdr:nvSpPr>
      <xdr:spPr bwMode="auto">
        <a:xfrm flipV="1">
          <a:off x="831850" y="1908810"/>
          <a:ext cx="257556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146050</xdr:colOff>
      <xdr:row>11</xdr:row>
      <xdr:rowOff>114300</xdr:rowOff>
    </xdr:from>
    <xdr:to>
      <xdr:col>14</xdr:col>
      <xdr:colOff>146050</xdr:colOff>
      <xdr:row>29</xdr:row>
      <xdr:rowOff>76200</xdr:rowOff>
    </xdr:to>
    <xdr:sp macro="" textlink="">
      <xdr:nvSpPr>
        <xdr:cNvPr id="9" name="Line 245">
          <a:extLst>
            <a:ext uri="{FF2B5EF4-FFF2-40B4-BE49-F238E27FC236}">
              <a16:creationId xmlns:a16="http://schemas.microsoft.com/office/drawing/2014/main" id="{A2415809-BD58-48D6-9AB3-0EAF24603117}"/>
            </a:ext>
          </a:extLst>
        </xdr:cNvPr>
        <xdr:cNvSpPr>
          <a:spLocks noChangeShapeType="1"/>
        </xdr:cNvSpPr>
      </xdr:nvSpPr>
      <xdr:spPr bwMode="auto">
        <a:xfrm>
          <a:off x="2104390" y="1722120"/>
          <a:ext cx="0" cy="29337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127000</xdr:colOff>
      <xdr:row>17</xdr:row>
      <xdr:rowOff>0</xdr:rowOff>
    </xdr:from>
    <xdr:to>
      <xdr:col>19</xdr:col>
      <xdr:colOff>19050</xdr:colOff>
      <xdr:row>19</xdr:row>
      <xdr:rowOff>6350</xdr:rowOff>
    </xdr:to>
    <xdr:sp macro="" textlink="">
      <xdr:nvSpPr>
        <xdr:cNvPr id="10" name="Rectangle 246">
          <a:extLst>
            <a:ext uri="{FF2B5EF4-FFF2-40B4-BE49-F238E27FC236}">
              <a16:creationId xmlns:a16="http://schemas.microsoft.com/office/drawing/2014/main" id="{E9E6075D-FC52-4077-9FD4-E3F596F28FC4}"/>
            </a:ext>
          </a:extLst>
        </xdr:cNvPr>
        <xdr:cNvSpPr>
          <a:spLocks noChangeArrowheads="1"/>
        </xdr:cNvSpPr>
      </xdr:nvSpPr>
      <xdr:spPr bwMode="auto">
        <a:xfrm>
          <a:off x="1506220" y="2598420"/>
          <a:ext cx="1195070" cy="3416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12700</xdr:colOff>
      <xdr:row>14</xdr:row>
      <xdr:rowOff>57150</xdr:rowOff>
    </xdr:from>
    <xdr:to>
      <xdr:col>19</xdr:col>
      <xdr:colOff>57150</xdr:colOff>
      <xdr:row>16</xdr:row>
      <xdr:rowOff>57150</xdr:rowOff>
    </xdr:to>
    <xdr:sp macro="" textlink="">
      <xdr:nvSpPr>
        <xdr:cNvPr id="11" name="Rectangle 247">
          <a:extLst>
            <a:ext uri="{FF2B5EF4-FFF2-40B4-BE49-F238E27FC236}">
              <a16:creationId xmlns:a16="http://schemas.microsoft.com/office/drawing/2014/main" id="{1212FCD9-0BAE-47AD-B67F-159FA9716549}"/>
            </a:ext>
          </a:extLst>
        </xdr:cNvPr>
        <xdr:cNvSpPr>
          <a:spLocks noChangeArrowheads="1"/>
        </xdr:cNvSpPr>
      </xdr:nvSpPr>
      <xdr:spPr bwMode="auto">
        <a:xfrm>
          <a:off x="1536700" y="2152650"/>
          <a:ext cx="1202690" cy="3352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139700</xdr:colOff>
      <xdr:row>19</xdr:row>
      <xdr:rowOff>95250</xdr:rowOff>
    </xdr:from>
    <xdr:to>
      <xdr:col>19</xdr:col>
      <xdr:colOff>31750</xdr:colOff>
      <xdr:row>22</xdr:row>
      <xdr:rowOff>38100</xdr:rowOff>
    </xdr:to>
    <xdr:sp macro="" textlink="">
      <xdr:nvSpPr>
        <xdr:cNvPr id="12" name="Rectangle 248">
          <a:extLst>
            <a:ext uri="{FF2B5EF4-FFF2-40B4-BE49-F238E27FC236}">
              <a16:creationId xmlns:a16="http://schemas.microsoft.com/office/drawing/2014/main" id="{22683946-9771-4B90-A690-CA84263574CD}"/>
            </a:ext>
          </a:extLst>
        </xdr:cNvPr>
        <xdr:cNvSpPr>
          <a:spLocks noChangeArrowheads="1"/>
        </xdr:cNvSpPr>
      </xdr:nvSpPr>
      <xdr:spPr bwMode="auto">
        <a:xfrm>
          <a:off x="1518920" y="3028950"/>
          <a:ext cx="1195070" cy="4457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139700</xdr:colOff>
      <xdr:row>23</xdr:row>
      <xdr:rowOff>25400</xdr:rowOff>
    </xdr:from>
    <xdr:to>
      <xdr:col>19</xdr:col>
      <xdr:colOff>31750</xdr:colOff>
      <xdr:row>26</xdr:row>
      <xdr:rowOff>101600</xdr:rowOff>
    </xdr:to>
    <xdr:sp macro="" textlink="">
      <xdr:nvSpPr>
        <xdr:cNvPr id="13" name="Rectangle 249">
          <a:extLst>
            <a:ext uri="{FF2B5EF4-FFF2-40B4-BE49-F238E27FC236}">
              <a16:creationId xmlns:a16="http://schemas.microsoft.com/office/drawing/2014/main" id="{5E49BB82-2062-46B7-96E1-7BA6CE5D5299}"/>
            </a:ext>
          </a:extLst>
        </xdr:cNvPr>
        <xdr:cNvSpPr>
          <a:spLocks noChangeArrowheads="1"/>
        </xdr:cNvSpPr>
      </xdr:nvSpPr>
      <xdr:spPr bwMode="auto">
        <a:xfrm>
          <a:off x="1518920" y="3629660"/>
          <a:ext cx="1195070" cy="5638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19050</xdr:colOff>
      <xdr:row>26</xdr:row>
      <xdr:rowOff>0</xdr:rowOff>
    </xdr:from>
    <xdr:to>
      <xdr:col>10</xdr:col>
      <xdr:colOff>69850</xdr:colOff>
      <xdr:row>31</xdr:row>
      <xdr:rowOff>0</xdr:rowOff>
    </xdr:to>
    <xdr:sp macro="" textlink="">
      <xdr:nvSpPr>
        <xdr:cNvPr id="14" name="Rectangle 250">
          <a:extLst>
            <a:ext uri="{FF2B5EF4-FFF2-40B4-BE49-F238E27FC236}">
              <a16:creationId xmlns:a16="http://schemas.microsoft.com/office/drawing/2014/main" id="{72DA9921-52A4-4F5D-B28F-A7D0DB355CDF}"/>
            </a:ext>
          </a:extLst>
        </xdr:cNvPr>
        <xdr:cNvSpPr>
          <a:spLocks noChangeArrowheads="1"/>
        </xdr:cNvSpPr>
      </xdr:nvSpPr>
      <xdr:spPr bwMode="auto">
        <a:xfrm>
          <a:off x="240030" y="4091940"/>
          <a:ext cx="1209040" cy="7772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139700</xdr:colOff>
      <xdr:row>31</xdr:row>
      <xdr:rowOff>133350</xdr:rowOff>
    </xdr:from>
    <xdr:to>
      <xdr:col>7</xdr:col>
      <xdr:colOff>127000</xdr:colOff>
      <xdr:row>34</xdr:row>
      <xdr:rowOff>76200</xdr:rowOff>
    </xdr:to>
    <xdr:sp macro="" textlink="">
      <xdr:nvSpPr>
        <xdr:cNvPr id="15" name="Rectangle 251">
          <a:extLst>
            <a:ext uri="{FF2B5EF4-FFF2-40B4-BE49-F238E27FC236}">
              <a16:creationId xmlns:a16="http://schemas.microsoft.com/office/drawing/2014/main" id="{75BBBC11-2BFF-4A7B-BE63-000D27BBA74A}"/>
            </a:ext>
          </a:extLst>
        </xdr:cNvPr>
        <xdr:cNvSpPr>
          <a:spLocks noChangeArrowheads="1"/>
        </xdr:cNvSpPr>
      </xdr:nvSpPr>
      <xdr:spPr bwMode="auto">
        <a:xfrm>
          <a:off x="650240" y="5002530"/>
          <a:ext cx="421640" cy="4457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FF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13</xdr:col>
      <xdr:colOff>88900</xdr:colOff>
      <xdr:row>27</xdr:row>
      <xdr:rowOff>44450</xdr:rowOff>
    </xdr:from>
    <xdr:to>
      <xdr:col>16</xdr:col>
      <xdr:colOff>69850</xdr:colOff>
      <xdr:row>30</xdr:row>
      <xdr:rowOff>25400</xdr:rowOff>
    </xdr:to>
    <xdr:sp macro="" textlink="">
      <xdr:nvSpPr>
        <xdr:cNvPr id="16" name="Rectangle 252">
          <a:extLst>
            <a:ext uri="{FF2B5EF4-FFF2-40B4-BE49-F238E27FC236}">
              <a16:creationId xmlns:a16="http://schemas.microsoft.com/office/drawing/2014/main" id="{21DFFADD-BC3F-452F-AAC2-5A3C50F6DB15}"/>
            </a:ext>
          </a:extLst>
        </xdr:cNvPr>
        <xdr:cNvSpPr>
          <a:spLocks noChangeArrowheads="1"/>
        </xdr:cNvSpPr>
      </xdr:nvSpPr>
      <xdr:spPr bwMode="auto">
        <a:xfrm>
          <a:off x="1902460" y="4288790"/>
          <a:ext cx="415290" cy="438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FF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19</xdr:col>
      <xdr:colOff>120650</xdr:colOff>
      <xdr:row>14</xdr:row>
      <xdr:rowOff>57150</xdr:rowOff>
    </xdr:from>
    <xdr:to>
      <xdr:col>28</xdr:col>
      <xdr:colOff>12700</xdr:colOff>
      <xdr:row>17</xdr:row>
      <xdr:rowOff>0</xdr:rowOff>
    </xdr:to>
    <xdr:sp macro="" textlink="">
      <xdr:nvSpPr>
        <xdr:cNvPr id="17" name="Rectangle 253">
          <a:extLst>
            <a:ext uri="{FF2B5EF4-FFF2-40B4-BE49-F238E27FC236}">
              <a16:creationId xmlns:a16="http://schemas.microsoft.com/office/drawing/2014/main" id="{3F8FA067-14A7-4A85-8A04-D82AA5277081}"/>
            </a:ext>
          </a:extLst>
        </xdr:cNvPr>
        <xdr:cNvSpPr>
          <a:spLocks noChangeArrowheads="1"/>
        </xdr:cNvSpPr>
      </xdr:nvSpPr>
      <xdr:spPr bwMode="auto">
        <a:xfrm>
          <a:off x="2802890" y="2152650"/>
          <a:ext cx="1195070" cy="4457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120650</xdr:colOff>
      <xdr:row>17</xdr:row>
      <xdr:rowOff>133350</xdr:rowOff>
    </xdr:from>
    <xdr:to>
      <xdr:col>28</xdr:col>
      <xdr:colOff>12700</xdr:colOff>
      <xdr:row>20</xdr:row>
      <xdr:rowOff>19050</xdr:rowOff>
    </xdr:to>
    <xdr:sp macro="" textlink="">
      <xdr:nvSpPr>
        <xdr:cNvPr id="18" name="Rectangle 254">
          <a:extLst>
            <a:ext uri="{FF2B5EF4-FFF2-40B4-BE49-F238E27FC236}">
              <a16:creationId xmlns:a16="http://schemas.microsoft.com/office/drawing/2014/main" id="{C2FE9F81-F462-4B4F-9979-54F0CF126B9F}"/>
            </a:ext>
          </a:extLst>
        </xdr:cNvPr>
        <xdr:cNvSpPr>
          <a:spLocks noChangeArrowheads="1"/>
        </xdr:cNvSpPr>
      </xdr:nvSpPr>
      <xdr:spPr bwMode="auto">
        <a:xfrm>
          <a:off x="2802890" y="2731770"/>
          <a:ext cx="1195070" cy="3886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120650</xdr:colOff>
      <xdr:row>20</xdr:row>
      <xdr:rowOff>120650</xdr:rowOff>
    </xdr:from>
    <xdr:to>
      <xdr:col>28</xdr:col>
      <xdr:colOff>12700</xdr:colOff>
      <xdr:row>23</xdr:row>
      <xdr:rowOff>63500</xdr:rowOff>
    </xdr:to>
    <xdr:sp macro="" textlink="">
      <xdr:nvSpPr>
        <xdr:cNvPr id="19" name="Rectangle 255">
          <a:extLst>
            <a:ext uri="{FF2B5EF4-FFF2-40B4-BE49-F238E27FC236}">
              <a16:creationId xmlns:a16="http://schemas.microsoft.com/office/drawing/2014/main" id="{7E3F1017-8572-4AE9-8303-5B8615441866}"/>
            </a:ext>
          </a:extLst>
        </xdr:cNvPr>
        <xdr:cNvSpPr>
          <a:spLocks noChangeArrowheads="1"/>
        </xdr:cNvSpPr>
      </xdr:nvSpPr>
      <xdr:spPr bwMode="auto">
        <a:xfrm>
          <a:off x="2802890" y="3221990"/>
          <a:ext cx="1195070" cy="4457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120650</xdr:colOff>
      <xdr:row>24</xdr:row>
      <xdr:rowOff>25400</xdr:rowOff>
    </xdr:from>
    <xdr:to>
      <xdr:col>28</xdr:col>
      <xdr:colOff>12700</xdr:colOff>
      <xdr:row>27</xdr:row>
      <xdr:rowOff>133350</xdr:rowOff>
    </xdr:to>
    <xdr:sp macro="" textlink="">
      <xdr:nvSpPr>
        <xdr:cNvPr id="20" name="Rectangle 256">
          <a:extLst>
            <a:ext uri="{FF2B5EF4-FFF2-40B4-BE49-F238E27FC236}">
              <a16:creationId xmlns:a16="http://schemas.microsoft.com/office/drawing/2014/main" id="{1B840AE1-26EA-4F78-8874-627366FF221B}"/>
            </a:ext>
          </a:extLst>
        </xdr:cNvPr>
        <xdr:cNvSpPr>
          <a:spLocks noChangeArrowheads="1"/>
        </xdr:cNvSpPr>
      </xdr:nvSpPr>
      <xdr:spPr bwMode="auto">
        <a:xfrm>
          <a:off x="2802890" y="3797300"/>
          <a:ext cx="1195070" cy="5803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120650</xdr:colOff>
      <xdr:row>28</xdr:row>
      <xdr:rowOff>101600</xdr:rowOff>
    </xdr:from>
    <xdr:to>
      <xdr:col>28</xdr:col>
      <xdr:colOff>12700</xdr:colOff>
      <xdr:row>30</xdr:row>
      <xdr:rowOff>76200</xdr:rowOff>
    </xdr:to>
    <xdr:sp macro="" textlink="">
      <xdr:nvSpPr>
        <xdr:cNvPr id="21" name="Rectangle 257">
          <a:extLst>
            <a:ext uri="{FF2B5EF4-FFF2-40B4-BE49-F238E27FC236}">
              <a16:creationId xmlns:a16="http://schemas.microsoft.com/office/drawing/2014/main" id="{F8855BE2-F907-4A3A-8B4E-0053F6519A36}"/>
            </a:ext>
          </a:extLst>
        </xdr:cNvPr>
        <xdr:cNvSpPr>
          <a:spLocks noChangeArrowheads="1"/>
        </xdr:cNvSpPr>
      </xdr:nvSpPr>
      <xdr:spPr bwMode="auto">
        <a:xfrm>
          <a:off x="2802890" y="4513580"/>
          <a:ext cx="1195070" cy="264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1" i="0" u="sng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22</xdr:col>
      <xdr:colOff>57150</xdr:colOff>
      <xdr:row>31</xdr:row>
      <xdr:rowOff>44450</xdr:rowOff>
    </xdr:from>
    <xdr:to>
      <xdr:col>25</xdr:col>
      <xdr:colOff>50800</xdr:colOff>
      <xdr:row>33</xdr:row>
      <xdr:rowOff>133350</xdr:rowOff>
    </xdr:to>
    <xdr:sp macro="" textlink="">
      <xdr:nvSpPr>
        <xdr:cNvPr id="22" name="Rectangle 258">
          <a:extLst>
            <a:ext uri="{FF2B5EF4-FFF2-40B4-BE49-F238E27FC236}">
              <a16:creationId xmlns:a16="http://schemas.microsoft.com/office/drawing/2014/main" id="{2305AD8E-7F79-48C8-B148-01BEFCE60BC9}"/>
            </a:ext>
          </a:extLst>
        </xdr:cNvPr>
        <xdr:cNvSpPr>
          <a:spLocks noChangeArrowheads="1"/>
        </xdr:cNvSpPr>
      </xdr:nvSpPr>
      <xdr:spPr bwMode="auto">
        <a:xfrm>
          <a:off x="3173730" y="4913630"/>
          <a:ext cx="427990" cy="4241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>
    <xdr:from>
      <xdr:col>7</xdr:col>
      <xdr:colOff>88900</xdr:colOff>
      <xdr:row>9</xdr:row>
      <xdr:rowOff>38100</xdr:rowOff>
    </xdr:from>
    <xdr:to>
      <xdr:col>22</xdr:col>
      <xdr:colOff>50800</xdr:colOff>
      <xdr:row>12</xdr:row>
      <xdr:rowOff>0</xdr:rowOff>
    </xdr:to>
    <xdr:sp macro="" textlink="">
      <xdr:nvSpPr>
        <xdr:cNvPr id="23" name="Rectangle 259">
          <a:extLst>
            <a:ext uri="{FF2B5EF4-FFF2-40B4-BE49-F238E27FC236}">
              <a16:creationId xmlns:a16="http://schemas.microsoft.com/office/drawing/2014/main" id="{1EA54A52-30DB-4744-B602-E6FDD678F13B}"/>
            </a:ext>
          </a:extLst>
        </xdr:cNvPr>
        <xdr:cNvSpPr>
          <a:spLocks noChangeArrowheads="1"/>
        </xdr:cNvSpPr>
      </xdr:nvSpPr>
      <xdr:spPr bwMode="auto">
        <a:xfrm>
          <a:off x="1033780" y="1310640"/>
          <a:ext cx="2133600" cy="464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38100</xdr:colOff>
      <xdr:row>37</xdr:row>
      <xdr:rowOff>44450</xdr:rowOff>
    </xdr:from>
    <xdr:to>
      <xdr:col>10</xdr:col>
      <xdr:colOff>88900</xdr:colOff>
      <xdr:row>38</xdr:row>
      <xdr:rowOff>25400</xdr:rowOff>
    </xdr:to>
    <xdr:sp macro="" textlink="">
      <xdr:nvSpPr>
        <xdr:cNvPr id="24" name="Rectangle 277">
          <a:extLst>
            <a:ext uri="{FF2B5EF4-FFF2-40B4-BE49-F238E27FC236}">
              <a16:creationId xmlns:a16="http://schemas.microsoft.com/office/drawing/2014/main" id="{66789AE9-8477-416B-9AD6-6E2187063220}"/>
            </a:ext>
          </a:extLst>
        </xdr:cNvPr>
        <xdr:cNvSpPr>
          <a:spLocks noChangeArrowheads="1"/>
        </xdr:cNvSpPr>
      </xdr:nvSpPr>
      <xdr:spPr bwMode="auto">
        <a:xfrm>
          <a:off x="114300" y="5904230"/>
          <a:ext cx="1353820" cy="1485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Step.VII Evaluasi Hasil</a:t>
          </a:r>
        </a:p>
      </xdr:txBody>
    </xdr:sp>
    <xdr:clientData/>
  </xdr:twoCellAnchor>
  <xdr:twoCellAnchor>
    <xdr:from>
      <xdr:col>30</xdr:col>
      <xdr:colOff>50800</xdr:colOff>
      <xdr:row>43</xdr:row>
      <xdr:rowOff>44450</xdr:rowOff>
    </xdr:from>
    <xdr:to>
      <xdr:col>39</xdr:col>
      <xdr:colOff>146050</xdr:colOff>
      <xdr:row>44</xdr:row>
      <xdr:rowOff>25400</xdr:rowOff>
    </xdr:to>
    <xdr:sp macro="" textlink="">
      <xdr:nvSpPr>
        <xdr:cNvPr id="25" name="Rectangle 4722">
          <a:extLst>
            <a:ext uri="{FF2B5EF4-FFF2-40B4-BE49-F238E27FC236}">
              <a16:creationId xmlns:a16="http://schemas.microsoft.com/office/drawing/2014/main" id="{CE9E7E68-F649-4383-8F0E-098BEAA803EA}"/>
            </a:ext>
          </a:extLst>
        </xdr:cNvPr>
        <xdr:cNvSpPr>
          <a:spLocks noChangeArrowheads="1"/>
        </xdr:cNvSpPr>
      </xdr:nvSpPr>
      <xdr:spPr bwMode="auto">
        <a:xfrm>
          <a:off x="4257040" y="6902450"/>
          <a:ext cx="1329690" cy="1485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Arial"/>
              <a:cs typeface="Arial"/>
            </a:rPr>
            <a:t>Step.VIII  Standarisasi Hasil</a:t>
          </a:r>
        </a:p>
      </xdr:txBody>
    </xdr:sp>
    <xdr:clientData/>
  </xdr:twoCellAnchor>
  <xdr:twoCellAnchor>
    <xdr:from>
      <xdr:col>56</xdr:col>
      <xdr:colOff>38100</xdr:colOff>
      <xdr:row>26</xdr:row>
      <xdr:rowOff>133350</xdr:rowOff>
    </xdr:from>
    <xdr:to>
      <xdr:col>57</xdr:col>
      <xdr:colOff>139700</xdr:colOff>
      <xdr:row>27</xdr:row>
      <xdr:rowOff>158750</xdr:rowOff>
    </xdr:to>
    <xdr:sp macro="" textlink="">
      <xdr:nvSpPr>
        <xdr:cNvPr id="26" name="Oval 4730">
          <a:extLst>
            <a:ext uri="{FF2B5EF4-FFF2-40B4-BE49-F238E27FC236}">
              <a16:creationId xmlns:a16="http://schemas.microsoft.com/office/drawing/2014/main" id="{AB9D4B13-BDF8-4D70-AB21-E70C5CA39B0A}"/>
            </a:ext>
          </a:extLst>
        </xdr:cNvPr>
        <xdr:cNvSpPr>
          <a:spLocks noChangeArrowheads="1"/>
        </xdr:cNvSpPr>
      </xdr:nvSpPr>
      <xdr:spPr bwMode="auto">
        <a:xfrm>
          <a:off x="8122920" y="4225290"/>
          <a:ext cx="246380" cy="177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53340</xdr:colOff>
      <xdr:row>30</xdr:row>
      <xdr:rowOff>129540</xdr:rowOff>
    </xdr:from>
    <xdr:to>
      <xdr:col>32</xdr:col>
      <xdr:colOff>142240</xdr:colOff>
      <xdr:row>32</xdr:row>
      <xdr:rowOff>25400</xdr:rowOff>
    </xdr:to>
    <xdr:sp macro="" textlink="">
      <xdr:nvSpPr>
        <xdr:cNvPr id="27" name="Oval 4731">
          <a:extLst>
            <a:ext uri="{FF2B5EF4-FFF2-40B4-BE49-F238E27FC236}">
              <a16:creationId xmlns:a16="http://schemas.microsoft.com/office/drawing/2014/main" id="{633916D4-1D14-4CF9-9FCD-136DFB762D65}"/>
            </a:ext>
          </a:extLst>
        </xdr:cNvPr>
        <xdr:cNvSpPr>
          <a:spLocks noChangeArrowheads="1"/>
        </xdr:cNvSpPr>
      </xdr:nvSpPr>
      <xdr:spPr bwMode="auto">
        <a:xfrm>
          <a:off x="4335780" y="4831080"/>
          <a:ext cx="233680" cy="2311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32</xdr:col>
      <xdr:colOff>50800</xdr:colOff>
      <xdr:row>16</xdr:row>
      <xdr:rowOff>0</xdr:rowOff>
    </xdr:from>
    <xdr:to>
      <xdr:col>33</xdr:col>
      <xdr:colOff>146050</xdr:colOff>
      <xdr:row>17</xdr:row>
      <xdr:rowOff>63500</xdr:rowOff>
    </xdr:to>
    <xdr:sp macro="" textlink="">
      <xdr:nvSpPr>
        <xdr:cNvPr id="28" name="Oval 4732">
          <a:extLst>
            <a:ext uri="{FF2B5EF4-FFF2-40B4-BE49-F238E27FC236}">
              <a16:creationId xmlns:a16="http://schemas.microsoft.com/office/drawing/2014/main" id="{58BB6693-C11F-482A-A608-C9D76B969028}"/>
            </a:ext>
          </a:extLst>
        </xdr:cNvPr>
        <xdr:cNvSpPr>
          <a:spLocks noChangeArrowheads="1"/>
        </xdr:cNvSpPr>
      </xdr:nvSpPr>
      <xdr:spPr bwMode="auto">
        <a:xfrm>
          <a:off x="4478020" y="2430780"/>
          <a:ext cx="240030" cy="2311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51</xdr:col>
      <xdr:colOff>115570</xdr:colOff>
      <xdr:row>6</xdr:row>
      <xdr:rowOff>125730</xdr:rowOff>
    </xdr:from>
    <xdr:to>
      <xdr:col>53</xdr:col>
      <xdr:colOff>58420</xdr:colOff>
      <xdr:row>8</xdr:row>
      <xdr:rowOff>36830</xdr:rowOff>
    </xdr:to>
    <xdr:sp macro="" textlink="">
      <xdr:nvSpPr>
        <xdr:cNvPr id="29" name="Oval 4733">
          <a:extLst>
            <a:ext uri="{FF2B5EF4-FFF2-40B4-BE49-F238E27FC236}">
              <a16:creationId xmlns:a16="http://schemas.microsoft.com/office/drawing/2014/main" id="{40DF5327-5E34-40E9-92ED-D3900151BB3A}"/>
            </a:ext>
          </a:extLst>
        </xdr:cNvPr>
        <xdr:cNvSpPr>
          <a:spLocks noChangeArrowheads="1"/>
        </xdr:cNvSpPr>
      </xdr:nvSpPr>
      <xdr:spPr bwMode="auto">
        <a:xfrm>
          <a:off x="7476490" y="1002030"/>
          <a:ext cx="232410" cy="215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44</xdr:col>
      <xdr:colOff>127000</xdr:colOff>
      <xdr:row>51</xdr:row>
      <xdr:rowOff>0</xdr:rowOff>
    </xdr:from>
    <xdr:to>
      <xdr:col>70</xdr:col>
      <xdr:colOff>88900</xdr:colOff>
      <xdr:row>55</xdr:row>
      <xdr:rowOff>101600</xdr:rowOff>
    </xdr:to>
    <xdr:sp macro="" textlink="">
      <xdr:nvSpPr>
        <xdr:cNvPr id="30" name="Rectangle 4736">
          <a:extLst>
            <a:ext uri="{FF2B5EF4-FFF2-40B4-BE49-F238E27FC236}">
              <a16:creationId xmlns:a16="http://schemas.microsoft.com/office/drawing/2014/main" id="{A5931CA7-2544-4913-A718-479E8D10D896}"/>
            </a:ext>
          </a:extLst>
        </xdr:cNvPr>
        <xdr:cNvSpPr>
          <a:spLocks noChangeArrowheads="1"/>
        </xdr:cNvSpPr>
      </xdr:nvSpPr>
      <xdr:spPr bwMode="auto">
        <a:xfrm>
          <a:off x="6474460" y="8199120"/>
          <a:ext cx="3726180" cy="7721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50</xdr:col>
      <xdr:colOff>88900</xdr:colOff>
      <xdr:row>5</xdr:row>
      <xdr:rowOff>44450</xdr:rowOff>
    </xdr:from>
    <xdr:to>
      <xdr:col>52</xdr:col>
      <xdr:colOff>120650</xdr:colOff>
      <xdr:row>6</xdr:row>
      <xdr:rowOff>82550</xdr:rowOff>
    </xdr:to>
    <xdr:sp macro="" textlink="">
      <xdr:nvSpPr>
        <xdr:cNvPr id="31" name="AutoShape 4737">
          <a:extLst>
            <a:ext uri="{FF2B5EF4-FFF2-40B4-BE49-F238E27FC236}">
              <a16:creationId xmlns:a16="http://schemas.microsoft.com/office/drawing/2014/main" id="{CD6E7F6A-11EC-46B6-88F5-23614236455B}"/>
            </a:ext>
          </a:extLst>
        </xdr:cNvPr>
        <xdr:cNvSpPr>
          <a:spLocks noChangeArrowheads="1"/>
        </xdr:cNvSpPr>
      </xdr:nvSpPr>
      <xdr:spPr bwMode="auto">
        <a:xfrm>
          <a:off x="7305040" y="768350"/>
          <a:ext cx="321310" cy="190500"/>
        </a:xfrm>
        <a:prstGeom prst="rightArrow">
          <a:avLst>
            <a:gd name="adj1" fmla="val 50000"/>
            <a:gd name="adj2" fmla="val 44355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146050</xdr:colOff>
      <xdr:row>5</xdr:row>
      <xdr:rowOff>38100</xdr:rowOff>
    </xdr:from>
    <xdr:to>
      <xdr:col>31</xdr:col>
      <xdr:colOff>19050</xdr:colOff>
      <xdr:row>6</xdr:row>
      <xdr:rowOff>76200</xdr:rowOff>
    </xdr:to>
    <xdr:sp macro="" textlink="">
      <xdr:nvSpPr>
        <xdr:cNvPr id="32" name="AutoShape 4738">
          <a:extLst>
            <a:ext uri="{FF2B5EF4-FFF2-40B4-BE49-F238E27FC236}">
              <a16:creationId xmlns:a16="http://schemas.microsoft.com/office/drawing/2014/main" id="{32C9B3BC-20E6-4CE1-AC10-F30C92FFBDFE}"/>
            </a:ext>
          </a:extLst>
        </xdr:cNvPr>
        <xdr:cNvSpPr>
          <a:spLocks noChangeArrowheads="1"/>
        </xdr:cNvSpPr>
      </xdr:nvSpPr>
      <xdr:spPr bwMode="auto">
        <a:xfrm>
          <a:off x="3986530" y="762000"/>
          <a:ext cx="314960" cy="190500"/>
        </a:xfrm>
        <a:prstGeom prst="rightArrow">
          <a:avLst>
            <a:gd name="adj1" fmla="val 50000"/>
            <a:gd name="adj2" fmla="val 46774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127000</xdr:colOff>
      <xdr:row>55</xdr:row>
      <xdr:rowOff>82550</xdr:rowOff>
    </xdr:from>
    <xdr:to>
      <xdr:col>41</xdr:col>
      <xdr:colOff>69850</xdr:colOff>
      <xdr:row>57</xdr:row>
      <xdr:rowOff>114300</xdr:rowOff>
    </xdr:to>
    <xdr:sp macro="" textlink="">
      <xdr:nvSpPr>
        <xdr:cNvPr id="33" name="AutoShape 4745">
          <a:extLst>
            <a:ext uri="{FF2B5EF4-FFF2-40B4-BE49-F238E27FC236}">
              <a16:creationId xmlns:a16="http://schemas.microsoft.com/office/drawing/2014/main" id="{9DCC4464-71FA-4E24-B8D0-33DAF285959C}"/>
            </a:ext>
          </a:extLst>
        </xdr:cNvPr>
        <xdr:cNvSpPr>
          <a:spLocks noChangeArrowheads="1"/>
        </xdr:cNvSpPr>
      </xdr:nvSpPr>
      <xdr:spPr bwMode="auto">
        <a:xfrm>
          <a:off x="4409440" y="8952230"/>
          <a:ext cx="1573530" cy="283210"/>
        </a:xfrm>
        <a:prstGeom prst="ribbon2">
          <a:avLst>
            <a:gd name="adj1" fmla="val 12500"/>
            <a:gd name="adj2" fmla="val 6322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Halaman 2 dari 2</a:t>
          </a:r>
        </a:p>
      </xdr:txBody>
    </xdr:sp>
    <xdr:clientData/>
  </xdr:twoCellAnchor>
  <xdr:twoCellAnchor editAs="oneCell">
    <xdr:from>
      <xdr:col>0</xdr:col>
      <xdr:colOff>22860</xdr:colOff>
      <xdr:row>1</xdr:row>
      <xdr:rowOff>15240</xdr:rowOff>
    </xdr:from>
    <xdr:to>
      <xdr:col>6</xdr:col>
      <xdr:colOff>137163</xdr:colOff>
      <xdr:row>2</xdr:row>
      <xdr:rowOff>94563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99678A4-C415-4476-9708-3D145615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82880"/>
          <a:ext cx="914403" cy="2393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11</xdr:row>
      <xdr:rowOff>0</xdr:rowOff>
    </xdr:from>
    <xdr:to>
      <xdr:col>8</xdr:col>
      <xdr:colOff>114300</xdr:colOff>
      <xdr:row>11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64EA36-D32D-4F0C-A5F4-65A5F078FDD4}"/>
            </a:ext>
          </a:extLst>
        </xdr:cNvPr>
        <xdr:cNvSpPr>
          <a:spLocks noChangeArrowheads="1"/>
        </xdr:cNvSpPr>
      </xdr:nvSpPr>
      <xdr:spPr bwMode="auto">
        <a:xfrm>
          <a:off x="3442335" y="2788920"/>
          <a:ext cx="45910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detik</a:t>
          </a:r>
        </a:p>
      </xdr:txBody>
    </xdr:sp>
    <xdr:clientData/>
  </xdr:twoCellAnchor>
  <xdr:twoCellAnchor>
    <xdr:from>
      <xdr:col>8</xdr:col>
      <xdr:colOff>247650</xdr:colOff>
      <xdr:row>11</xdr:row>
      <xdr:rowOff>0</xdr:rowOff>
    </xdr:from>
    <xdr:to>
      <xdr:col>9</xdr:col>
      <xdr:colOff>28575</xdr:colOff>
      <xdr:row>11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25A53C6-2526-4E57-91D2-C7C6E97388CC}"/>
            </a:ext>
          </a:extLst>
        </xdr:cNvPr>
        <xdr:cNvSpPr>
          <a:spLocks noChangeArrowheads="1"/>
        </xdr:cNvSpPr>
      </xdr:nvSpPr>
      <xdr:spPr bwMode="auto">
        <a:xfrm>
          <a:off x="3950970" y="2788920"/>
          <a:ext cx="3238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 / A</a:t>
          </a:r>
        </a:p>
      </xdr:txBody>
    </xdr:sp>
    <xdr:clientData/>
  </xdr:twoCellAnchor>
  <xdr:twoCellAnchor>
    <xdr:from>
      <xdr:col>9</xdr:col>
      <xdr:colOff>504825</xdr:colOff>
      <xdr:row>11</xdr:row>
      <xdr:rowOff>0</xdr:rowOff>
    </xdr:from>
    <xdr:to>
      <xdr:col>10</xdr:col>
      <xdr:colOff>285750</xdr:colOff>
      <xdr:row>11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0D1FEC-0EEC-47ED-ABF4-8594085112E5}"/>
            </a:ext>
          </a:extLst>
        </xdr:cNvPr>
        <xdr:cNvSpPr>
          <a:spLocks noChangeArrowheads="1"/>
        </xdr:cNvSpPr>
      </xdr:nvSpPr>
      <xdr:spPr bwMode="auto">
        <a:xfrm>
          <a:off x="4459605" y="2788920"/>
          <a:ext cx="51244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ADM</a:t>
          </a:r>
        </a:p>
      </xdr:txBody>
    </xdr:sp>
    <xdr:clientData/>
  </xdr:twoCellAnchor>
  <xdr:twoCellAnchor>
    <xdr:from>
      <xdr:col>11</xdr:col>
      <xdr:colOff>152400</xdr:colOff>
      <xdr:row>11</xdr:row>
      <xdr:rowOff>0</xdr:rowOff>
    </xdr:from>
    <xdr:to>
      <xdr:col>11</xdr:col>
      <xdr:colOff>504825</xdr:colOff>
      <xdr:row>11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84F325D-07A0-4BE0-8337-93F52A4FDD75}"/>
            </a:ext>
          </a:extLst>
        </xdr:cNvPr>
        <xdr:cNvSpPr>
          <a:spLocks noChangeArrowheads="1"/>
        </xdr:cNvSpPr>
      </xdr:nvSpPr>
      <xdr:spPr bwMode="auto">
        <a:xfrm>
          <a:off x="5570220" y="2788920"/>
          <a:ext cx="3524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KARU</a:t>
          </a:r>
        </a:p>
      </xdr:txBody>
    </xdr:sp>
    <xdr:clientData/>
  </xdr:twoCellAnchor>
  <xdr:twoCellAnchor>
    <xdr:from>
      <xdr:col>12</xdr:col>
      <xdr:colOff>323850</xdr:colOff>
      <xdr:row>11</xdr:row>
      <xdr:rowOff>0</xdr:rowOff>
    </xdr:from>
    <xdr:to>
      <xdr:col>13</xdr:col>
      <xdr:colOff>57150</xdr:colOff>
      <xdr:row>11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AA3974E-89EF-4244-B827-EEBA430C1782}"/>
            </a:ext>
          </a:extLst>
        </xdr:cNvPr>
        <xdr:cNvSpPr>
          <a:spLocks noChangeArrowheads="1"/>
        </xdr:cNvSpPr>
      </xdr:nvSpPr>
      <xdr:spPr bwMode="auto">
        <a:xfrm>
          <a:off x="6473190" y="2788920"/>
          <a:ext cx="46482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KAS1</a:t>
          </a:r>
        </a:p>
      </xdr:txBody>
    </xdr:sp>
    <xdr:clientData/>
  </xdr:twoCellAnchor>
  <xdr:twoCellAnchor>
    <xdr:from>
      <xdr:col>13</xdr:col>
      <xdr:colOff>476250</xdr:colOff>
      <xdr:row>11</xdr:row>
      <xdr:rowOff>0</xdr:rowOff>
    </xdr:from>
    <xdr:to>
      <xdr:col>14</xdr:col>
      <xdr:colOff>209550</xdr:colOff>
      <xdr:row>11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B04D1D5-E565-40B8-B288-0D0CE29EAA31}"/>
            </a:ext>
          </a:extLst>
        </xdr:cNvPr>
        <xdr:cNvSpPr>
          <a:spLocks noChangeArrowheads="1"/>
        </xdr:cNvSpPr>
      </xdr:nvSpPr>
      <xdr:spPr bwMode="auto">
        <a:xfrm>
          <a:off x="7357110" y="2788920"/>
          <a:ext cx="46482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KAS2</a:t>
          </a:r>
        </a:p>
      </xdr:txBody>
    </xdr:sp>
    <xdr:clientData/>
  </xdr:twoCellAnchor>
  <xdr:oneCellAnchor>
    <xdr:from>
      <xdr:col>5</xdr:col>
      <xdr:colOff>238125</xdr:colOff>
      <xdr:row>43</xdr:row>
      <xdr:rowOff>66675</xdr:rowOff>
    </xdr:from>
    <xdr:ext cx="50494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5E2B1A-9F5C-4313-8363-31156AA36CA9}"/>
            </a:ext>
          </a:extLst>
        </xdr:cNvPr>
        <xdr:cNvSpPr txBox="1"/>
      </xdr:nvSpPr>
      <xdr:spPr>
        <a:xfrm>
          <a:off x="2516505" y="8486775"/>
          <a:ext cx="5049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.........</a:t>
          </a:r>
        </a:p>
      </xdr:txBody>
    </xdr:sp>
    <xdr:clientData/>
  </xdr:oneCellAnchor>
  <xdr:oneCellAnchor>
    <xdr:from>
      <xdr:col>6</xdr:col>
      <xdr:colOff>247650</xdr:colOff>
      <xdr:row>43</xdr:row>
      <xdr:rowOff>28575</xdr:rowOff>
    </xdr:from>
    <xdr:ext cx="576568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FD8015-A3E1-4D6D-9312-A8BAE2CB52F3}"/>
            </a:ext>
          </a:extLst>
        </xdr:cNvPr>
        <xdr:cNvSpPr txBox="1"/>
      </xdr:nvSpPr>
      <xdr:spPr>
        <a:xfrm>
          <a:off x="2983230" y="8448675"/>
          <a:ext cx="576568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itchFamily="34" charset="0"/>
              <a:cs typeface="Arial" pitchFamily="34" charset="0"/>
            </a:rPr>
            <a:t>Bulan</a:t>
          </a:r>
        </a:p>
      </xdr:txBody>
    </xdr:sp>
    <xdr:clientData/>
  </xdr:oneCellAnchor>
  <xdr:oneCellAnchor>
    <xdr:from>
      <xdr:col>9</xdr:col>
      <xdr:colOff>697481</xdr:colOff>
      <xdr:row>43</xdr:row>
      <xdr:rowOff>66675</xdr:rowOff>
    </xdr:from>
    <xdr:ext cx="110991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6DDB1EF-0F2B-4E2A-B951-2C859E5A1DA1}"/>
            </a:ext>
          </a:extLst>
        </xdr:cNvPr>
        <xdr:cNvSpPr txBox="1"/>
      </xdr:nvSpPr>
      <xdr:spPr>
        <a:xfrm>
          <a:off x="4652261" y="8486775"/>
          <a:ext cx="11099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..........................</a:t>
          </a:r>
        </a:p>
      </xdr:txBody>
    </xdr:sp>
    <xdr:clientData/>
  </xdr:oneCellAnchor>
  <xdr:oneCellAnchor>
    <xdr:from>
      <xdr:col>11</xdr:col>
      <xdr:colOff>697481</xdr:colOff>
      <xdr:row>43</xdr:row>
      <xdr:rowOff>66675</xdr:rowOff>
    </xdr:from>
    <xdr:ext cx="1181093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631A0DA-59EE-4BD2-9EF3-B3040EEF0F3E}"/>
            </a:ext>
          </a:extLst>
        </xdr:cNvPr>
        <xdr:cNvSpPr txBox="1"/>
      </xdr:nvSpPr>
      <xdr:spPr>
        <a:xfrm>
          <a:off x="6115301" y="8486775"/>
          <a:ext cx="11810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............................</a:t>
          </a:r>
        </a:p>
      </xdr:txBody>
    </xdr:sp>
    <xdr:clientData/>
  </xdr:oneCellAnchor>
  <xdr:twoCellAnchor>
    <xdr:from>
      <xdr:col>0</xdr:col>
      <xdr:colOff>108562</xdr:colOff>
      <xdr:row>1</xdr:row>
      <xdr:rowOff>221664</xdr:rowOff>
    </xdr:from>
    <xdr:to>
      <xdr:col>5</xdr:col>
      <xdr:colOff>176181</xdr:colOff>
      <xdr:row>4</xdr:row>
      <xdr:rowOff>42809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6E878F33-288B-4B03-91F7-A5B513795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62" y="396924"/>
          <a:ext cx="2345999" cy="606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123825</xdr:rowOff>
    </xdr:from>
    <xdr:to>
      <xdr:col>3</xdr:col>
      <xdr:colOff>1470025</xdr:colOff>
      <xdr:row>4</xdr:row>
      <xdr:rowOff>124675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CAA17-B60D-4184-94F9-1D2913719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4300" y="307975"/>
          <a:ext cx="1431925" cy="610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>
    <xdr:from>
      <xdr:col>3</xdr:col>
      <xdr:colOff>106680</xdr:colOff>
      <xdr:row>43</xdr:row>
      <xdr:rowOff>272416</xdr:rowOff>
    </xdr:from>
    <xdr:to>
      <xdr:col>3</xdr:col>
      <xdr:colOff>1112520</xdr:colOff>
      <xdr:row>48</xdr:row>
      <xdr:rowOff>184784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551A348-50DF-428C-847D-C74F54824816}"/>
            </a:ext>
          </a:extLst>
        </xdr:cNvPr>
        <xdr:cNvSpPr/>
      </xdr:nvSpPr>
      <xdr:spPr>
        <a:xfrm>
          <a:off x="1452880" y="7828916"/>
          <a:ext cx="1005840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106680</xdr:colOff>
      <xdr:row>44</xdr:row>
      <xdr:rowOff>2260</xdr:rowOff>
    </xdr:from>
    <xdr:to>
      <xdr:col>3</xdr:col>
      <xdr:colOff>1112520</xdr:colOff>
      <xdr:row>45</xdr:row>
      <xdr:rowOff>16790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7F2100B-9C06-4BCF-B7C0-5818C6F6BDC8}"/>
            </a:ext>
          </a:extLst>
        </xdr:cNvPr>
        <xdr:cNvSpPr/>
      </xdr:nvSpPr>
      <xdr:spPr>
        <a:xfrm>
          <a:off x="1452880" y="783816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Circle Leader</a:t>
          </a:r>
        </a:p>
      </xdr:txBody>
    </xdr:sp>
    <xdr:clientData/>
  </xdr:twoCellAnchor>
  <xdr:twoCellAnchor>
    <xdr:from>
      <xdr:col>3</xdr:col>
      <xdr:colOff>106680</xdr:colOff>
      <xdr:row>47</xdr:row>
      <xdr:rowOff>164185</xdr:rowOff>
    </xdr:from>
    <xdr:to>
      <xdr:col>3</xdr:col>
      <xdr:colOff>1112520</xdr:colOff>
      <xdr:row>48</xdr:row>
      <xdr:rowOff>178715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7494FB1-C386-4871-B3D0-32624BBEC677}"/>
            </a:ext>
          </a:extLst>
        </xdr:cNvPr>
        <xdr:cNvSpPr/>
      </xdr:nvSpPr>
      <xdr:spPr>
        <a:xfrm>
          <a:off x="1452880" y="8654135"/>
          <a:ext cx="1005840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1116330</xdr:colOff>
      <xdr:row>43</xdr:row>
      <xdr:rowOff>272416</xdr:rowOff>
    </xdr:from>
    <xdr:to>
      <xdr:col>6</xdr:col>
      <xdr:colOff>226695</xdr:colOff>
      <xdr:row>48</xdr:row>
      <xdr:rowOff>184784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BB5D84D-E0D7-402B-9645-CF49BBD098CB}"/>
            </a:ext>
          </a:extLst>
        </xdr:cNvPr>
        <xdr:cNvSpPr/>
      </xdr:nvSpPr>
      <xdr:spPr>
        <a:xfrm>
          <a:off x="2462530" y="7828916"/>
          <a:ext cx="1612265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1116330</xdr:colOff>
      <xdr:row>44</xdr:row>
      <xdr:rowOff>2260</xdr:rowOff>
    </xdr:from>
    <xdr:to>
      <xdr:col>6</xdr:col>
      <xdr:colOff>226695</xdr:colOff>
      <xdr:row>45</xdr:row>
      <xdr:rowOff>16790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6F76AC5-B4FD-4C73-979E-42C9BA13027A}"/>
            </a:ext>
          </a:extLst>
        </xdr:cNvPr>
        <xdr:cNvSpPr/>
      </xdr:nvSpPr>
      <xdr:spPr>
        <a:xfrm>
          <a:off x="2462530" y="7838160"/>
          <a:ext cx="1612265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Fasilitator</a:t>
          </a:r>
        </a:p>
      </xdr:txBody>
    </xdr:sp>
    <xdr:clientData/>
  </xdr:twoCellAnchor>
  <xdr:twoCellAnchor>
    <xdr:from>
      <xdr:col>3</xdr:col>
      <xdr:colOff>1116330</xdr:colOff>
      <xdr:row>47</xdr:row>
      <xdr:rowOff>164185</xdr:rowOff>
    </xdr:from>
    <xdr:to>
      <xdr:col>6</xdr:col>
      <xdr:colOff>226695</xdr:colOff>
      <xdr:row>48</xdr:row>
      <xdr:rowOff>178715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5858F45-D2AA-4966-93EA-C3C5D969B914}"/>
            </a:ext>
          </a:extLst>
        </xdr:cNvPr>
        <xdr:cNvSpPr/>
      </xdr:nvSpPr>
      <xdr:spPr>
        <a:xfrm>
          <a:off x="2462530" y="8654135"/>
          <a:ext cx="1612265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43</xdr:row>
      <xdr:rowOff>272416</xdr:rowOff>
    </xdr:from>
    <xdr:to>
      <xdr:col>8</xdr:col>
      <xdr:colOff>17145</xdr:colOff>
      <xdr:row>48</xdr:row>
      <xdr:rowOff>184784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77875A1-6DC1-4C27-A0D7-673EBB781365}"/>
            </a:ext>
          </a:extLst>
        </xdr:cNvPr>
        <xdr:cNvSpPr/>
      </xdr:nvSpPr>
      <xdr:spPr>
        <a:xfrm>
          <a:off x="4078605" y="7828916"/>
          <a:ext cx="1005840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230505</xdr:colOff>
      <xdr:row>44</xdr:row>
      <xdr:rowOff>2260</xdr:rowOff>
    </xdr:from>
    <xdr:to>
      <xdr:col>8</xdr:col>
      <xdr:colOff>17145</xdr:colOff>
      <xdr:row>45</xdr:row>
      <xdr:rowOff>16790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56108A-B253-4ACD-8B3B-9DA7FC930A1E}"/>
            </a:ext>
          </a:extLst>
        </xdr:cNvPr>
        <xdr:cNvSpPr/>
      </xdr:nvSpPr>
      <xdr:spPr>
        <a:xfrm>
          <a:off x="4078605" y="783816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47</xdr:row>
      <xdr:rowOff>164185</xdr:rowOff>
    </xdr:from>
    <xdr:to>
      <xdr:col>8</xdr:col>
      <xdr:colOff>17145</xdr:colOff>
      <xdr:row>48</xdr:row>
      <xdr:rowOff>178715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54E3780-7E30-4F2C-9388-80C978452B65}"/>
            </a:ext>
          </a:extLst>
        </xdr:cNvPr>
        <xdr:cNvSpPr/>
      </xdr:nvSpPr>
      <xdr:spPr>
        <a:xfrm>
          <a:off x="4078605" y="8654135"/>
          <a:ext cx="1005840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43</xdr:row>
      <xdr:rowOff>272416</xdr:rowOff>
    </xdr:from>
    <xdr:to>
      <xdr:col>9</xdr:col>
      <xdr:colOff>417195</xdr:colOff>
      <xdr:row>48</xdr:row>
      <xdr:rowOff>184784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CACD6A-66C9-402D-A4D7-85FCE45ED5EB}"/>
            </a:ext>
          </a:extLst>
        </xdr:cNvPr>
        <xdr:cNvSpPr/>
      </xdr:nvSpPr>
      <xdr:spPr>
        <a:xfrm>
          <a:off x="5088255" y="7828916"/>
          <a:ext cx="1005840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</xdr:colOff>
      <xdr:row>44</xdr:row>
      <xdr:rowOff>2260</xdr:rowOff>
    </xdr:from>
    <xdr:to>
      <xdr:col>9</xdr:col>
      <xdr:colOff>417195</xdr:colOff>
      <xdr:row>45</xdr:row>
      <xdr:rowOff>16790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9AD8F0A-ADF7-4F31-8957-20D235B73EF1}"/>
            </a:ext>
          </a:extLst>
        </xdr:cNvPr>
        <xdr:cNvSpPr/>
      </xdr:nvSpPr>
      <xdr:spPr>
        <a:xfrm>
          <a:off x="5088255" y="783816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47</xdr:row>
      <xdr:rowOff>164185</xdr:rowOff>
    </xdr:from>
    <xdr:to>
      <xdr:col>9</xdr:col>
      <xdr:colOff>417195</xdr:colOff>
      <xdr:row>48</xdr:row>
      <xdr:rowOff>178715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7097464-7E63-4334-BB12-3448A77725FC}"/>
            </a:ext>
          </a:extLst>
        </xdr:cNvPr>
        <xdr:cNvSpPr/>
      </xdr:nvSpPr>
      <xdr:spPr>
        <a:xfrm>
          <a:off x="5088255" y="8654135"/>
          <a:ext cx="1005840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42</xdr:row>
      <xdr:rowOff>272416</xdr:rowOff>
    </xdr:from>
    <xdr:to>
      <xdr:col>3</xdr:col>
      <xdr:colOff>1112520</xdr:colOff>
      <xdr:row>47</xdr:row>
      <xdr:rowOff>184784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76C2D19-BF87-4147-8864-63A78F376A82}"/>
            </a:ext>
          </a:extLst>
        </xdr:cNvPr>
        <xdr:cNvSpPr/>
      </xdr:nvSpPr>
      <xdr:spPr>
        <a:xfrm>
          <a:off x="1447800" y="7374256"/>
          <a:ext cx="1005840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106680</xdr:colOff>
      <xdr:row>43</xdr:row>
      <xdr:rowOff>2260</xdr:rowOff>
    </xdr:from>
    <xdr:to>
      <xdr:col>3</xdr:col>
      <xdr:colOff>1112520</xdr:colOff>
      <xdr:row>44</xdr:row>
      <xdr:rowOff>16790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91CB3A-326D-4955-8C6E-CE36F9DF76FE}"/>
            </a:ext>
          </a:extLst>
        </xdr:cNvPr>
        <xdr:cNvSpPr/>
      </xdr:nvSpPr>
      <xdr:spPr>
        <a:xfrm>
          <a:off x="1447800" y="737842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Project</a:t>
          </a:r>
          <a:r>
            <a:rPr lang="en-US" sz="1100" baseline="0">
              <a:solidFill>
                <a:sysClr val="windowText" lastClr="000000"/>
              </a:solidFill>
            </a:rPr>
            <a:t> Leader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106680</xdr:colOff>
      <xdr:row>46</xdr:row>
      <xdr:rowOff>164185</xdr:rowOff>
    </xdr:from>
    <xdr:to>
      <xdr:col>3</xdr:col>
      <xdr:colOff>1112520</xdr:colOff>
      <xdr:row>47</xdr:row>
      <xdr:rowOff>178715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3C3C46-A9EF-4EAD-93B8-A2DB0EB44717}"/>
            </a:ext>
          </a:extLst>
        </xdr:cNvPr>
        <xdr:cNvSpPr/>
      </xdr:nvSpPr>
      <xdr:spPr>
        <a:xfrm>
          <a:off x="1447800" y="8188045"/>
          <a:ext cx="1005840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1116330</xdr:colOff>
      <xdr:row>42</xdr:row>
      <xdr:rowOff>272416</xdr:rowOff>
    </xdr:from>
    <xdr:to>
      <xdr:col>6</xdr:col>
      <xdr:colOff>226695</xdr:colOff>
      <xdr:row>47</xdr:row>
      <xdr:rowOff>184784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534F902-7EAA-4B3F-A9FE-FD9FD062D6C8}"/>
            </a:ext>
          </a:extLst>
        </xdr:cNvPr>
        <xdr:cNvSpPr/>
      </xdr:nvSpPr>
      <xdr:spPr>
        <a:xfrm>
          <a:off x="2457450" y="7374256"/>
          <a:ext cx="1571625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1116330</xdr:colOff>
      <xdr:row>43</xdr:row>
      <xdr:rowOff>2260</xdr:rowOff>
    </xdr:from>
    <xdr:to>
      <xdr:col>6</xdr:col>
      <xdr:colOff>226695</xdr:colOff>
      <xdr:row>44</xdr:row>
      <xdr:rowOff>16790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BF14A2C-49FE-4948-AF6A-E58668F29B94}"/>
            </a:ext>
          </a:extLst>
        </xdr:cNvPr>
        <xdr:cNvSpPr/>
      </xdr:nvSpPr>
      <xdr:spPr>
        <a:xfrm>
          <a:off x="2457450" y="7378420"/>
          <a:ext cx="1571625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Fasilitator</a:t>
          </a:r>
        </a:p>
      </xdr:txBody>
    </xdr:sp>
    <xdr:clientData/>
  </xdr:twoCellAnchor>
  <xdr:twoCellAnchor>
    <xdr:from>
      <xdr:col>3</xdr:col>
      <xdr:colOff>1116330</xdr:colOff>
      <xdr:row>46</xdr:row>
      <xdr:rowOff>164185</xdr:rowOff>
    </xdr:from>
    <xdr:to>
      <xdr:col>6</xdr:col>
      <xdr:colOff>226695</xdr:colOff>
      <xdr:row>47</xdr:row>
      <xdr:rowOff>178715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4B316D3-2822-42D7-A8C8-0F0E01A31303}"/>
            </a:ext>
          </a:extLst>
        </xdr:cNvPr>
        <xdr:cNvSpPr/>
      </xdr:nvSpPr>
      <xdr:spPr>
        <a:xfrm>
          <a:off x="2457450" y="8188045"/>
          <a:ext cx="1571625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42</xdr:row>
      <xdr:rowOff>272416</xdr:rowOff>
    </xdr:from>
    <xdr:to>
      <xdr:col>8</xdr:col>
      <xdr:colOff>17145</xdr:colOff>
      <xdr:row>47</xdr:row>
      <xdr:rowOff>184784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C868387-41A3-4BED-B808-CC69FFB5DAD6}"/>
            </a:ext>
          </a:extLst>
        </xdr:cNvPr>
        <xdr:cNvSpPr/>
      </xdr:nvSpPr>
      <xdr:spPr>
        <a:xfrm>
          <a:off x="4032885" y="7374256"/>
          <a:ext cx="1005840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230505</xdr:colOff>
      <xdr:row>43</xdr:row>
      <xdr:rowOff>2260</xdr:rowOff>
    </xdr:from>
    <xdr:to>
      <xdr:col>8</xdr:col>
      <xdr:colOff>17145</xdr:colOff>
      <xdr:row>44</xdr:row>
      <xdr:rowOff>16790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3A1622D-FBBE-45CA-8FCB-97D22D3B73BC}"/>
            </a:ext>
          </a:extLst>
        </xdr:cNvPr>
        <xdr:cNvSpPr/>
      </xdr:nvSpPr>
      <xdr:spPr>
        <a:xfrm>
          <a:off x="4032885" y="737842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46</xdr:row>
      <xdr:rowOff>164185</xdr:rowOff>
    </xdr:from>
    <xdr:to>
      <xdr:col>8</xdr:col>
      <xdr:colOff>17145</xdr:colOff>
      <xdr:row>47</xdr:row>
      <xdr:rowOff>178715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48443BD-3F9F-42D6-8030-247025114401}"/>
            </a:ext>
          </a:extLst>
        </xdr:cNvPr>
        <xdr:cNvSpPr/>
      </xdr:nvSpPr>
      <xdr:spPr>
        <a:xfrm>
          <a:off x="4032885" y="8188045"/>
          <a:ext cx="1005840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42</xdr:row>
      <xdr:rowOff>272416</xdr:rowOff>
    </xdr:from>
    <xdr:to>
      <xdr:col>9</xdr:col>
      <xdr:colOff>417195</xdr:colOff>
      <xdr:row>47</xdr:row>
      <xdr:rowOff>184784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2C5138B-BD20-4ECD-B462-12B86A12F458}"/>
            </a:ext>
          </a:extLst>
        </xdr:cNvPr>
        <xdr:cNvSpPr/>
      </xdr:nvSpPr>
      <xdr:spPr>
        <a:xfrm>
          <a:off x="5042535" y="7374256"/>
          <a:ext cx="1005840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</xdr:colOff>
      <xdr:row>43</xdr:row>
      <xdr:rowOff>2260</xdr:rowOff>
    </xdr:from>
    <xdr:to>
      <xdr:col>9</xdr:col>
      <xdr:colOff>417195</xdr:colOff>
      <xdr:row>44</xdr:row>
      <xdr:rowOff>16790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A4A7062-DA3E-4BB9-B9D3-42BCB23B31F9}"/>
            </a:ext>
          </a:extLst>
        </xdr:cNvPr>
        <xdr:cNvSpPr/>
      </xdr:nvSpPr>
      <xdr:spPr>
        <a:xfrm>
          <a:off x="5042535" y="737842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46</xdr:row>
      <xdr:rowOff>164185</xdr:rowOff>
    </xdr:from>
    <xdr:to>
      <xdr:col>9</xdr:col>
      <xdr:colOff>417195</xdr:colOff>
      <xdr:row>47</xdr:row>
      <xdr:rowOff>178715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A65859D-3F96-4CC8-A2B0-D8F9083CE7DB}"/>
            </a:ext>
          </a:extLst>
        </xdr:cNvPr>
        <xdr:cNvSpPr/>
      </xdr:nvSpPr>
      <xdr:spPr>
        <a:xfrm>
          <a:off x="5042535" y="8188045"/>
          <a:ext cx="1005840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91440</xdr:colOff>
      <xdr:row>2</xdr:row>
      <xdr:rowOff>53340</xdr:rowOff>
    </xdr:from>
    <xdr:to>
      <xdr:col>5</xdr:col>
      <xdr:colOff>73835</xdr:colOff>
      <xdr:row>4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968190E-36AD-4392-B585-5C28C8E9F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" y="419100"/>
          <a:ext cx="18340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42</xdr:row>
      <xdr:rowOff>272416</xdr:rowOff>
    </xdr:from>
    <xdr:to>
      <xdr:col>3</xdr:col>
      <xdr:colOff>1112520</xdr:colOff>
      <xdr:row>47</xdr:row>
      <xdr:rowOff>184784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8D04847-A9F5-4DD6-A656-E710EDA7CD3B}"/>
            </a:ext>
          </a:extLst>
        </xdr:cNvPr>
        <xdr:cNvSpPr/>
      </xdr:nvSpPr>
      <xdr:spPr>
        <a:xfrm>
          <a:off x="1447800" y="7648576"/>
          <a:ext cx="1005840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106680</xdr:colOff>
      <xdr:row>43</xdr:row>
      <xdr:rowOff>2260</xdr:rowOff>
    </xdr:from>
    <xdr:to>
      <xdr:col>3</xdr:col>
      <xdr:colOff>1112520</xdr:colOff>
      <xdr:row>44</xdr:row>
      <xdr:rowOff>16790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70FEE1-A7FC-423B-8437-7226C798923D}"/>
            </a:ext>
          </a:extLst>
        </xdr:cNvPr>
        <xdr:cNvSpPr/>
      </xdr:nvSpPr>
      <xdr:spPr>
        <a:xfrm>
          <a:off x="1447800" y="765274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Project</a:t>
          </a:r>
          <a:r>
            <a:rPr lang="en-US" sz="1100" baseline="0">
              <a:solidFill>
                <a:sysClr val="windowText" lastClr="000000"/>
              </a:solidFill>
            </a:rPr>
            <a:t> Leader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106680</xdr:colOff>
      <xdr:row>46</xdr:row>
      <xdr:rowOff>164185</xdr:rowOff>
    </xdr:from>
    <xdr:to>
      <xdr:col>3</xdr:col>
      <xdr:colOff>1112520</xdr:colOff>
      <xdr:row>47</xdr:row>
      <xdr:rowOff>178715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6964291-F81F-40C3-B1DF-E944CB30CD41}"/>
            </a:ext>
          </a:extLst>
        </xdr:cNvPr>
        <xdr:cNvSpPr/>
      </xdr:nvSpPr>
      <xdr:spPr>
        <a:xfrm>
          <a:off x="1447800" y="8462365"/>
          <a:ext cx="1005840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1116330</xdr:colOff>
      <xdr:row>42</xdr:row>
      <xdr:rowOff>272416</xdr:rowOff>
    </xdr:from>
    <xdr:to>
      <xdr:col>6</xdr:col>
      <xdr:colOff>226695</xdr:colOff>
      <xdr:row>47</xdr:row>
      <xdr:rowOff>184784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654915B-EA28-42C1-950F-CE22FCDB3221}"/>
            </a:ext>
          </a:extLst>
        </xdr:cNvPr>
        <xdr:cNvSpPr/>
      </xdr:nvSpPr>
      <xdr:spPr>
        <a:xfrm>
          <a:off x="2457450" y="7648576"/>
          <a:ext cx="1571625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1116330</xdr:colOff>
      <xdr:row>43</xdr:row>
      <xdr:rowOff>2260</xdr:rowOff>
    </xdr:from>
    <xdr:to>
      <xdr:col>6</xdr:col>
      <xdr:colOff>226695</xdr:colOff>
      <xdr:row>44</xdr:row>
      <xdr:rowOff>16790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2F10AE8-8E37-4A22-9F6C-DEC39704B4D2}"/>
            </a:ext>
          </a:extLst>
        </xdr:cNvPr>
        <xdr:cNvSpPr/>
      </xdr:nvSpPr>
      <xdr:spPr>
        <a:xfrm>
          <a:off x="2457450" y="7652740"/>
          <a:ext cx="1571625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Fasilitator</a:t>
          </a:r>
        </a:p>
      </xdr:txBody>
    </xdr:sp>
    <xdr:clientData/>
  </xdr:twoCellAnchor>
  <xdr:twoCellAnchor>
    <xdr:from>
      <xdr:col>3</xdr:col>
      <xdr:colOff>1116330</xdr:colOff>
      <xdr:row>46</xdr:row>
      <xdr:rowOff>164185</xdr:rowOff>
    </xdr:from>
    <xdr:to>
      <xdr:col>6</xdr:col>
      <xdr:colOff>226695</xdr:colOff>
      <xdr:row>47</xdr:row>
      <xdr:rowOff>178715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8196EBA-933C-4D4B-8F81-124D18EBF269}"/>
            </a:ext>
          </a:extLst>
        </xdr:cNvPr>
        <xdr:cNvSpPr/>
      </xdr:nvSpPr>
      <xdr:spPr>
        <a:xfrm>
          <a:off x="2457450" y="8462365"/>
          <a:ext cx="1571625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42</xdr:row>
      <xdr:rowOff>272416</xdr:rowOff>
    </xdr:from>
    <xdr:to>
      <xdr:col>8</xdr:col>
      <xdr:colOff>17145</xdr:colOff>
      <xdr:row>47</xdr:row>
      <xdr:rowOff>184784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C1EACA-C0EE-45BB-B9C7-593E3268874C}"/>
            </a:ext>
          </a:extLst>
        </xdr:cNvPr>
        <xdr:cNvSpPr/>
      </xdr:nvSpPr>
      <xdr:spPr>
        <a:xfrm>
          <a:off x="4032885" y="7648576"/>
          <a:ext cx="1005840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230505</xdr:colOff>
      <xdr:row>43</xdr:row>
      <xdr:rowOff>2260</xdr:rowOff>
    </xdr:from>
    <xdr:to>
      <xdr:col>8</xdr:col>
      <xdr:colOff>17145</xdr:colOff>
      <xdr:row>44</xdr:row>
      <xdr:rowOff>16790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48D093D-40DB-4167-908F-4F458EB981DD}"/>
            </a:ext>
          </a:extLst>
        </xdr:cNvPr>
        <xdr:cNvSpPr/>
      </xdr:nvSpPr>
      <xdr:spPr>
        <a:xfrm>
          <a:off x="4032885" y="765274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46</xdr:row>
      <xdr:rowOff>164185</xdr:rowOff>
    </xdr:from>
    <xdr:to>
      <xdr:col>8</xdr:col>
      <xdr:colOff>17145</xdr:colOff>
      <xdr:row>47</xdr:row>
      <xdr:rowOff>178715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141A9CD-CC51-4003-A8B1-570E97B68E89}"/>
            </a:ext>
          </a:extLst>
        </xdr:cNvPr>
        <xdr:cNvSpPr/>
      </xdr:nvSpPr>
      <xdr:spPr>
        <a:xfrm>
          <a:off x="4032885" y="8462365"/>
          <a:ext cx="1005840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42</xdr:row>
      <xdr:rowOff>272416</xdr:rowOff>
    </xdr:from>
    <xdr:to>
      <xdr:col>9</xdr:col>
      <xdr:colOff>417195</xdr:colOff>
      <xdr:row>47</xdr:row>
      <xdr:rowOff>184784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1811320-7AEF-4EDF-BA5D-200C3CDEE452}"/>
            </a:ext>
          </a:extLst>
        </xdr:cNvPr>
        <xdr:cNvSpPr/>
      </xdr:nvSpPr>
      <xdr:spPr>
        <a:xfrm>
          <a:off x="5042535" y="7648576"/>
          <a:ext cx="1005840" cy="10172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</xdr:colOff>
      <xdr:row>43</xdr:row>
      <xdr:rowOff>2260</xdr:rowOff>
    </xdr:from>
    <xdr:to>
      <xdr:col>9</xdr:col>
      <xdr:colOff>417195</xdr:colOff>
      <xdr:row>44</xdr:row>
      <xdr:rowOff>16790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BFBA9-DC03-423D-81AC-083426A6DA1C}"/>
            </a:ext>
          </a:extLst>
        </xdr:cNvPr>
        <xdr:cNvSpPr/>
      </xdr:nvSpPr>
      <xdr:spPr>
        <a:xfrm>
          <a:off x="5042535" y="765274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46</xdr:row>
      <xdr:rowOff>164185</xdr:rowOff>
    </xdr:from>
    <xdr:to>
      <xdr:col>9</xdr:col>
      <xdr:colOff>417195</xdr:colOff>
      <xdr:row>47</xdr:row>
      <xdr:rowOff>178715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78087DD-D0FF-460A-B7A0-08BBE57B0C6E}"/>
            </a:ext>
          </a:extLst>
        </xdr:cNvPr>
        <xdr:cNvSpPr/>
      </xdr:nvSpPr>
      <xdr:spPr>
        <a:xfrm>
          <a:off x="5042535" y="8462365"/>
          <a:ext cx="1005840" cy="1974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91440</xdr:colOff>
      <xdr:row>2</xdr:row>
      <xdr:rowOff>53340</xdr:rowOff>
    </xdr:from>
    <xdr:to>
      <xdr:col>5</xdr:col>
      <xdr:colOff>73835</xdr:colOff>
      <xdr:row>4</xdr:row>
      <xdr:rowOff>106680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4BE3498-3D98-4947-9183-1D42A397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" y="419100"/>
          <a:ext cx="1834055" cy="4800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123825</xdr:rowOff>
    </xdr:from>
    <xdr:to>
      <xdr:col>3</xdr:col>
      <xdr:colOff>1470025</xdr:colOff>
      <xdr:row>4</xdr:row>
      <xdr:rowOff>124675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800AF-3C05-462D-B0CA-CE0923D6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4300" y="307975"/>
          <a:ext cx="1431925" cy="610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>
    <xdr:from>
      <xdr:col>3</xdr:col>
      <xdr:colOff>106680</xdr:colOff>
      <xdr:row>43</xdr:row>
      <xdr:rowOff>272416</xdr:rowOff>
    </xdr:from>
    <xdr:to>
      <xdr:col>3</xdr:col>
      <xdr:colOff>1112520</xdr:colOff>
      <xdr:row>48</xdr:row>
      <xdr:rowOff>184784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3698BD4-BCD4-4DCA-9A12-A73A947B73A6}"/>
            </a:ext>
          </a:extLst>
        </xdr:cNvPr>
        <xdr:cNvSpPr/>
      </xdr:nvSpPr>
      <xdr:spPr>
        <a:xfrm>
          <a:off x="1452880" y="7828916"/>
          <a:ext cx="1005840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106680</xdr:colOff>
      <xdr:row>44</xdr:row>
      <xdr:rowOff>2260</xdr:rowOff>
    </xdr:from>
    <xdr:to>
      <xdr:col>3</xdr:col>
      <xdr:colOff>1112520</xdr:colOff>
      <xdr:row>45</xdr:row>
      <xdr:rowOff>16790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24277F-7753-42B8-A5AC-213D13F581CE}"/>
            </a:ext>
          </a:extLst>
        </xdr:cNvPr>
        <xdr:cNvSpPr/>
      </xdr:nvSpPr>
      <xdr:spPr>
        <a:xfrm>
          <a:off x="1452880" y="783816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Circle Leader</a:t>
          </a:r>
        </a:p>
      </xdr:txBody>
    </xdr:sp>
    <xdr:clientData/>
  </xdr:twoCellAnchor>
  <xdr:twoCellAnchor>
    <xdr:from>
      <xdr:col>3</xdr:col>
      <xdr:colOff>106680</xdr:colOff>
      <xdr:row>47</xdr:row>
      <xdr:rowOff>164185</xdr:rowOff>
    </xdr:from>
    <xdr:to>
      <xdr:col>3</xdr:col>
      <xdr:colOff>1112520</xdr:colOff>
      <xdr:row>48</xdr:row>
      <xdr:rowOff>178715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6318687-5B99-409E-9B29-1D92B74F9629}"/>
            </a:ext>
          </a:extLst>
        </xdr:cNvPr>
        <xdr:cNvSpPr/>
      </xdr:nvSpPr>
      <xdr:spPr>
        <a:xfrm>
          <a:off x="1452880" y="8654135"/>
          <a:ext cx="1005840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1116330</xdr:colOff>
      <xdr:row>43</xdr:row>
      <xdr:rowOff>272416</xdr:rowOff>
    </xdr:from>
    <xdr:to>
      <xdr:col>6</xdr:col>
      <xdr:colOff>226695</xdr:colOff>
      <xdr:row>48</xdr:row>
      <xdr:rowOff>184784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9629B1B-9F48-45BA-A515-81E868960E87}"/>
            </a:ext>
          </a:extLst>
        </xdr:cNvPr>
        <xdr:cNvSpPr/>
      </xdr:nvSpPr>
      <xdr:spPr>
        <a:xfrm>
          <a:off x="2462530" y="7828916"/>
          <a:ext cx="1612265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1116330</xdr:colOff>
      <xdr:row>44</xdr:row>
      <xdr:rowOff>2260</xdr:rowOff>
    </xdr:from>
    <xdr:to>
      <xdr:col>6</xdr:col>
      <xdr:colOff>226695</xdr:colOff>
      <xdr:row>45</xdr:row>
      <xdr:rowOff>16790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55D3290-FDD4-4FF3-B8D7-FD8B2ACB5C1C}"/>
            </a:ext>
          </a:extLst>
        </xdr:cNvPr>
        <xdr:cNvSpPr/>
      </xdr:nvSpPr>
      <xdr:spPr>
        <a:xfrm>
          <a:off x="2462530" y="7838160"/>
          <a:ext cx="1612265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Fasilitator</a:t>
          </a:r>
        </a:p>
      </xdr:txBody>
    </xdr:sp>
    <xdr:clientData/>
  </xdr:twoCellAnchor>
  <xdr:twoCellAnchor>
    <xdr:from>
      <xdr:col>3</xdr:col>
      <xdr:colOff>1116330</xdr:colOff>
      <xdr:row>47</xdr:row>
      <xdr:rowOff>164185</xdr:rowOff>
    </xdr:from>
    <xdr:to>
      <xdr:col>6</xdr:col>
      <xdr:colOff>226695</xdr:colOff>
      <xdr:row>48</xdr:row>
      <xdr:rowOff>178715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A6A0854-6BD6-4844-9F27-F9D098A3124A}"/>
            </a:ext>
          </a:extLst>
        </xdr:cNvPr>
        <xdr:cNvSpPr/>
      </xdr:nvSpPr>
      <xdr:spPr>
        <a:xfrm>
          <a:off x="2462530" y="8654135"/>
          <a:ext cx="1612265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43</xdr:row>
      <xdr:rowOff>272416</xdr:rowOff>
    </xdr:from>
    <xdr:to>
      <xdr:col>8</xdr:col>
      <xdr:colOff>17145</xdr:colOff>
      <xdr:row>48</xdr:row>
      <xdr:rowOff>184784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DDFA91C-1050-4B84-B687-1633CE94CFB9}"/>
            </a:ext>
          </a:extLst>
        </xdr:cNvPr>
        <xdr:cNvSpPr/>
      </xdr:nvSpPr>
      <xdr:spPr>
        <a:xfrm>
          <a:off x="4078605" y="7828916"/>
          <a:ext cx="1005840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230505</xdr:colOff>
      <xdr:row>44</xdr:row>
      <xdr:rowOff>2260</xdr:rowOff>
    </xdr:from>
    <xdr:to>
      <xdr:col>8</xdr:col>
      <xdr:colOff>17145</xdr:colOff>
      <xdr:row>45</xdr:row>
      <xdr:rowOff>16790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42075B8-CE45-4407-B6F9-97D9AA4439ED}"/>
            </a:ext>
          </a:extLst>
        </xdr:cNvPr>
        <xdr:cNvSpPr/>
      </xdr:nvSpPr>
      <xdr:spPr>
        <a:xfrm>
          <a:off x="4078605" y="783816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230505</xdr:colOff>
      <xdr:row>47</xdr:row>
      <xdr:rowOff>164185</xdr:rowOff>
    </xdr:from>
    <xdr:to>
      <xdr:col>8</xdr:col>
      <xdr:colOff>17145</xdr:colOff>
      <xdr:row>48</xdr:row>
      <xdr:rowOff>178715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635AD5F-2FF3-4BB1-BC32-EA9EBCA32A24}"/>
            </a:ext>
          </a:extLst>
        </xdr:cNvPr>
        <xdr:cNvSpPr/>
      </xdr:nvSpPr>
      <xdr:spPr>
        <a:xfrm>
          <a:off x="4078605" y="8654135"/>
          <a:ext cx="1005840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43</xdr:row>
      <xdr:rowOff>272416</xdr:rowOff>
    </xdr:from>
    <xdr:to>
      <xdr:col>9</xdr:col>
      <xdr:colOff>417195</xdr:colOff>
      <xdr:row>48</xdr:row>
      <xdr:rowOff>184784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BCFFF78-198C-4457-B3EF-EAD4EB6C82CB}"/>
            </a:ext>
          </a:extLst>
        </xdr:cNvPr>
        <xdr:cNvSpPr/>
      </xdr:nvSpPr>
      <xdr:spPr>
        <a:xfrm>
          <a:off x="5088255" y="7828916"/>
          <a:ext cx="1005840" cy="102996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</xdr:colOff>
      <xdr:row>44</xdr:row>
      <xdr:rowOff>2260</xdr:rowOff>
    </xdr:from>
    <xdr:to>
      <xdr:col>9</xdr:col>
      <xdr:colOff>417195</xdr:colOff>
      <xdr:row>45</xdr:row>
      <xdr:rowOff>16790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6956ED0-005D-4F70-8A3B-BF07F69E51EC}"/>
            </a:ext>
          </a:extLst>
        </xdr:cNvPr>
        <xdr:cNvSpPr/>
      </xdr:nvSpPr>
      <xdr:spPr>
        <a:xfrm>
          <a:off x="5088255" y="7838160"/>
          <a:ext cx="1005840" cy="2050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Atasan</a:t>
          </a:r>
          <a:r>
            <a:rPr lang="en-US" sz="1100" baseline="0">
              <a:solidFill>
                <a:sysClr val="windowText" lastClr="000000"/>
              </a:solidFill>
            </a:rPr>
            <a:t> 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20955</xdr:colOff>
      <xdr:row>47</xdr:row>
      <xdr:rowOff>164185</xdr:rowOff>
    </xdr:from>
    <xdr:to>
      <xdr:col>9</xdr:col>
      <xdr:colOff>417195</xdr:colOff>
      <xdr:row>48</xdr:row>
      <xdr:rowOff>178715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55D8D8-9AE2-4451-B51E-FF39BA00DE59}"/>
            </a:ext>
          </a:extLst>
        </xdr:cNvPr>
        <xdr:cNvSpPr/>
      </xdr:nvSpPr>
      <xdr:spPr>
        <a:xfrm>
          <a:off x="5088255" y="8654135"/>
          <a:ext cx="1005840" cy="1986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60960</xdr:rowOff>
    </xdr:from>
    <xdr:to>
      <xdr:col>3</xdr:col>
      <xdr:colOff>312420</xdr:colOff>
      <xdr:row>3</xdr:row>
      <xdr:rowOff>136142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E7497-DDCB-4D4D-B7B3-98747F07D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1" y="251460"/>
          <a:ext cx="1893569" cy="49428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59267</xdr:colOff>
      <xdr:row>125</xdr:row>
      <xdr:rowOff>1058</xdr:rowOff>
    </xdr:from>
    <xdr:to>
      <xdr:col>13</xdr:col>
      <xdr:colOff>1734</xdr:colOff>
      <xdr:row>125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A34BDC8D-2F33-43FF-9166-C2D7EC4F9BC9}"/>
            </a:ext>
          </a:extLst>
        </xdr:cNvPr>
        <xdr:cNvSpPr txBox="1">
          <a:spLocks noChangeArrowheads="1"/>
        </xdr:cNvSpPr>
      </xdr:nvSpPr>
      <xdr:spPr bwMode="auto">
        <a:xfrm>
          <a:off x="9134687" y="25421378"/>
          <a:ext cx="46824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7</xdr:col>
      <xdr:colOff>187325</xdr:colOff>
      <xdr:row>125</xdr:row>
      <xdr:rowOff>1058</xdr:rowOff>
    </xdr:from>
    <xdr:to>
      <xdr:col>7</xdr:col>
      <xdr:colOff>180975</xdr:colOff>
      <xdr:row>125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80947DE6-7194-4890-BB35-0DE0CC57DC43}"/>
            </a:ext>
          </a:extLst>
        </xdr:cNvPr>
        <xdr:cNvSpPr txBox="1">
          <a:spLocks noChangeArrowheads="1"/>
        </xdr:cNvSpPr>
      </xdr:nvSpPr>
      <xdr:spPr bwMode="auto">
        <a:xfrm>
          <a:off x="3113405" y="2542137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12</xdr:col>
      <xdr:colOff>381000</xdr:colOff>
      <xdr:row>123</xdr:row>
      <xdr:rowOff>152400</xdr:rowOff>
    </xdr:from>
    <xdr:to>
      <xdr:col>13</xdr:col>
      <xdr:colOff>9525</xdr:colOff>
      <xdr:row>124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894F9D95-5F19-465A-BB6B-9C0459B0F3CD}"/>
            </a:ext>
          </a:extLst>
        </xdr:cNvPr>
        <xdr:cNvSpPr txBox="1">
          <a:spLocks noChangeArrowheads="1"/>
        </xdr:cNvSpPr>
      </xdr:nvSpPr>
      <xdr:spPr bwMode="auto">
        <a:xfrm>
          <a:off x="9456420" y="25252680"/>
          <a:ext cx="154305" cy="10287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619125</xdr:colOff>
      <xdr:row>0</xdr:row>
      <xdr:rowOff>85725</xdr:rowOff>
    </xdr:from>
    <xdr:to>
      <xdr:col>5</xdr:col>
      <xdr:colOff>9525</xdr:colOff>
      <xdr:row>4</xdr:row>
      <xdr:rowOff>3012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2C9D36-0E2A-48D9-87A0-538F98F14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571500"/>
          <a:ext cx="2486025" cy="6507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1834055</xdr:colOff>
      <xdr:row>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BBFF8-31CA-4B2B-B8A9-805A2530E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834055" cy="4800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167640</xdr:rowOff>
    </xdr:from>
    <xdr:to>
      <xdr:col>2</xdr:col>
      <xdr:colOff>1498775</xdr:colOff>
      <xdr:row>2</xdr:row>
      <xdr:rowOff>396240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00486-79B7-4A05-9936-EE8CE89F6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327660"/>
          <a:ext cx="1834055" cy="4800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12</xdr:row>
      <xdr:rowOff>7620</xdr:rowOff>
    </xdr:from>
    <xdr:to>
      <xdr:col>4</xdr:col>
      <xdr:colOff>1958340</xdr:colOff>
      <xdr:row>12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1A1C18-45D4-44F9-AFFE-B644F9C96320}"/>
            </a:ext>
          </a:extLst>
        </xdr:cNvPr>
        <xdr:cNvCxnSpPr/>
      </xdr:nvCxnSpPr>
      <xdr:spPr>
        <a:xfrm>
          <a:off x="1328420" y="2655570"/>
          <a:ext cx="327787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30481</xdr:colOff>
      <xdr:row>2</xdr:row>
      <xdr:rowOff>121920</xdr:rowOff>
    </xdr:from>
    <xdr:to>
      <xdr:col>4</xdr:col>
      <xdr:colOff>166840</xdr:colOff>
      <xdr:row>4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D865A-8011-4DA7-BA5B-014345C0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81" y="490220"/>
          <a:ext cx="2162009" cy="561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pagri-my.sharepoint.com/Dt-tamsap(047)/c/Documents%20and%20Settings/Irfan%20Bachtar/Local%20Settings/Temporary%20Internet%20Files/OLK12/LoadPu_Ex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pagri-my.sharepoint.com/Dt-tamsap(047)/c/TH2001/ESTIM/LOD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atatan"/>
      <sheetName val="PRO_REP"/>
      <sheetName val="RENCANA LOADBY"/>
      <sheetName val="GSPH"/>
      <sheetName val="LOADNBY"/>
      <sheetName val="ACHIEVE"/>
      <sheetName val="PLAN"/>
      <sheetName val="GRAPH"/>
      <sheetName val="LO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14">
          <cell r="A14">
            <v>1</v>
          </cell>
          <cell r="B14" t="str">
            <v>A</v>
          </cell>
          <cell r="C14" t="str">
            <v>A-Z</v>
          </cell>
          <cell r="D14" t="str">
            <v>52111-0B010</v>
          </cell>
          <cell r="E14" t="str">
            <v>BAR, FR BUMPER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Q14">
            <v>1</v>
          </cell>
          <cell r="BR14">
            <v>1</v>
          </cell>
          <cell r="CK14">
            <v>0</v>
          </cell>
          <cell r="CL14">
            <v>1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</row>
        <row r="15">
          <cell r="A15">
            <v>14</v>
          </cell>
          <cell r="B15" t="str">
            <v>CO</v>
          </cell>
          <cell r="C15" t="str">
            <v>A-H</v>
          </cell>
          <cell r="D15" t="str">
            <v>61111-0B010</v>
          </cell>
          <cell r="E15" t="str">
            <v>PANEL, FR SIDE, OUTER RH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CK15">
            <v>1</v>
          </cell>
          <cell r="CM15">
            <v>0.37320044296788485</v>
          </cell>
          <cell r="CN15">
            <v>0</v>
          </cell>
          <cell r="CO15">
            <v>0</v>
          </cell>
          <cell r="CP15">
            <v>990</v>
          </cell>
          <cell r="CQ15">
            <v>45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990</v>
          </cell>
          <cell r="CY15">
            <v>45</v>
          </cell>
          <cell r="CZ15">
            <v>695</v>
          </cell>
          <cell r="DA15">
            <v>31.59090909090909</v>
          </cell>
          <cell r="DB15">
            <v>1685</v>
          </cell>
          <cell r="DC15">
            <v>76.590909090909093</v>
          </cell>
        </row>
        <row r="16">
          <cell r="A16">
            <v>15</v>
          </cell>
          <cell r="B16" t="str">
            <v>CO</v>
          </cell>
          <cell r="C16" t="str">
            <v>A-H</v>
          </cell>
          <cell r="D16" t="str">
            <v>61112-0B010</v>
          </cell>
          <cell r="E16" t="str">
            <v>PANEL, FR SIDE, OUTER LH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Z16">
            <v>1</v>
          </cell>
          <cell r="BA16">
            <v>1</v>
          </cell>
          <cell r="BB16">
            <v>1</v>
          </cell>
          <cell r="BC16">
            <v>1</v>
          </cell>
          <cell r="CK16">
            <v>1</v>
          </cell>
          <cell r="CM16">
            <v>0.37320044296788485</v>
          </cell>
          <cell r="CN16">
            <v>0</v>
          </cell>
          <cell r="CO16">
            <v>0</v>
          </cell>
          <cell r="CP16">
            <v>990</v>
          </cell>
          <cell r="CQ16">
            <v>45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990</v>
          </cell>
          <cell r="CY16">
            <v>45</v>
          </cell>
          <cell r="CZ16">
            <v>695</v>
          </cell>
          <cell r="DA16">
            <v>31.59090909090909</v>
          </cell>
          <cell r="DB16">
            <v>1685</v>
          </cell>
          <cell r="DC16">
            <v>76.590909090909093</v>
          </cell>
        </row>
        <row r="17">
          <cell r="A17">
            <v>25</v>
          </cell>
          <cell r="B17" t="str">
            <v>A</v>
          </cell>
          <cell r="C17" t="str">
            <v>H-A</v>
          </cell>
          <cell r="D17" t="str">
            <v>67144-0B020</v>
          </cell>
          <cell r="E17" t="str">
            <v>PANEL, RR DOOR, INSIDE, LH (LONG)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AB17">
            <v>1</v>
          </cell>
          <cell r="AC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CK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</row>
        <row r="19">
          <cell r="CK19">
            <v>2</v>
          </cell>
          <cell r="CM19">
            <v>0.7464008859357697</v>
          </cell>
          <cell r="CN19">
            <v>0</v>
          </cell>
          <cell r="CO19">
            <v>0</v>
          </cell>
          <cell r="CP19">
            <v>1980</v>
          </cell>
          <cell r="CQ19">
            <v>90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1980</v>
          </cell>
          <cell r="CY19">
            <v>90</v>
          </cell>
          <cell r="CZ19">
            <v>1390</v>
          </cell>
          <cell r="DA19">
            <v>63.18181818181818</v>
          </cell>
          <cell r="DB19">
            <v>3370</v>
          </cell>
          <cell r="DC19">
            <v>153.18181818181819</v>
          </cell>
        </row>
        <row r="21">
          <cell r="D21" t="str">
            <v>LOADING A=</v>
          </cell>
          <cell r="F21" t="str">
            <v>DOM =</v>
          </cell>
          <cell r="G21">
            <v>0.48978153629316418</v>
          </cell>
          <cell r="H21" t="str">
            <v>PHIL =</v>
          </cell>
          <cell r="I21">
            <v>0</v>
          </cell>
          <cell r="J21" t="str">
            <v>MAL =</v>
          </cell>
          <cell r="K21">
            <v>0.69767441860465118</v>
          </cell>
          <cell r="L21" t="str">
            <v>TAI=</v>
          </cell>
          <cell r="M21">
            <v>0</v>
          </cell>
          <cell r="N21" t="str">
            <v>VIET=</v>
          </cell>
          <cell r="O21">
            <v>0</v>
          </cell>
          <cell r="CK21" t="str">
            <v>SA =</v>
          </cell>
          <cell r="CL21">
            <v>0</v>
          </cell>
          <cell r="CN21" t="str">
            <v>AFC =</v>
          </cell>
        </row>
        <row r="22">
          <cell r="D22" t="str">
            <v>TOT. LOADING A =</v>
          </cell>
          <cell r="F22">
            <v>1.1874559548978154</v>
          </cell>
          <cell r="H22" t="str">
            <v>HOURS</v>
          </cell>
        </row>
        <row r="24">
          <cell r="A24" t="str">
            <v>LINE AA-1500 T</v>
          </cell>
        </row>
        <row r="25">
          <cell r="A25">
            <v>1</v>
          </cell>
          <cell r="B25" t="str">
            <v>CO</v>
          </cell>
          <cell r="C25" t="str">
            <v>AA</v>
          </cell>
          <cell r="D25" t="str">
            <v>12111-06011</v>
          </cell>
          <cell r="E25" t="str">
            <v>PAN OIL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0</v>
          </cell>
          <cell r="T25">
            <v>0</v>
          </cell>
          <cell r="U25">
            <v>0</v>
          </cell>
          <cell r="V25">
            <v>1</v>
          </cell>
          <cell r="W25">
            <v>0</v>
          </cell>
          <cell r="X25">
            <v>1</v>
          </cell>
          <cell r="Y25">
            <v>0</v>
          </cell>
          <cell r="Z25">
            <v>1</v>
          </cell>
          <cell r="AA25">
            <v>1</v>
          </cell>
          <cell r="AB25">
            <v>1</v>
          </cell>
          <cell r="AC25">
            <v>0</v>
          </cell>
          <cell r="AZ25">
            <v>1</v>
          </cell>
          <cell r="BA25">
            <v>1</v>
          </cell>
          <cell r="BB25">
            <v>1</v>
          </cell>
          <cell r="CK25">
            <v>2</v>
          </cell>
          <cell r="CM25">
            <v>0.57807308970099669</v>
          </cell>
          <cell r="CN25">
            <v>0</v>
          </cell>
          <cell r="CO25">
            <v>0</v>
          </cell>
          <cell r="CP25">
            <v>1220</v>
          </cell>
          <cell r="CQ25">
            <v>55.454545454545453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1220</v>
          </cell>
          <cell r="CY25">
            <v>55.454545454545453</v>
          </cell>
          <cell r="CZ25">
            <v>1390</v>
          </cell>
          <cell r="DA25">
            <v>63.18181818181818</v>
          </cell>
          <cell r="DB25">
            <v>2610</v>
          </cell>
          <cell r="DC25">
            <v>118.63636363636363</v>
          </cell>
        </row>
        <row r="26">
          <cell r="A26">
            <v>2</v>
          </cell>
          <cell r="B26" t="str">
            <v>CO</v>
          </cell>
          <cell r="C26" t="str">
            <v>AA</v>
          </cell>
          <cell r="D26" t="str">
            <v>12111-06021</v>
          </cell>
          <cell r="E26" t="str">
            <v>PAN OIL</v>
          </cell>
          <cell r="CK26">
            <v>2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</row>
        <row r="27">
          <cell r="A27">
            <v>3</v>
          </cell>
          <cell r="B27" t="str">
            <v>CO</v>
          </cell>
          <cell r="C27" t="str">
            <v>AA</v>
          </cell>
          <cell r="D27" t="str">
            <v>51111-0B020</v>
          </cell>
          <cell r="E27" t="str">
            <v>RAIL, FRAME SIDE, RH (LONG)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Q27">
            <v>1</v>
          </cell>
          <cell r="BR27">
            <v>1</v>
          </cell>
          <cell r="CK27">
            <v>2</v>
          </cell>
          <cell r="CM27">
            <v>1.0431893687707641</v>
          </cell>
          <cell r="CN27">
            <v>940</v>
          </cell>
          <cell r="CO27">
            <v>42.727272727272727</v>
          </cell>
          <cell r="CP27">
            <v>1980</v>
          </cell>
          <cell r="CQ27">
            <v>90</v>
          </cell>
          <cell r="CR27">
            <v>0</v>
          </cell>
          <cell r="CS27">
            <v>0</v>
          </cell>
          <cell r="CT27">
            <v>400</v>
          </cell>
          <cell r="CU27">
            <v>18.181818181818183</v>
          </cell>
          <cell r="CV27">
            <v>0</v>
          </cell>
          <cell r="CW27">
            <v>0</v>
          </cell>
          <cell r="CX27">
            <v>3320</v>
          </cell>
          <cell r="CY27">
            <v>150.90909090909091</v>
          </cell>
          <cell r="CZ27">
            <v>1390</v>
          </cell>
          <cell r="DA27">
            <v>63.18181818181818</v>
          </cell>
          <cell r="DB27">
            <v>4710</v>
          </cell>
          <cell r="DC27">
            <v>214.09090909090909</v>
          </cell>
        </row>
        <row r="28">
          <cell r="A28">
            <v>4</v>
          </cell>
          <cell r="B28" t="str">
            <v>CO</v>
          </cell>
          <cell r="C28" t="str">
            <v>AA</v>
          </cell>
          <cell r="D28" t="str">
            <v>51121-0B020</v>
          </cell>
          <cell r="E28" t="str">
            <v>RAIL, FRAME SIDE, LH (LONG)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X28">
            <v>1</v>
          </cell>
          <cell r="Y28">
            <v>1</v>
          </cell>
          <cell r="AB28">
            <v>1</v>
          </cell>
          <cell r="AC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1</v>
          </cell>
          <cell r="AR28">
            <v>1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Z28">
            <v>1</v>
          </cell>
          <cell r="BA28">
            <v>1</v>
          </cell>
          <cell r="BB28">
            <v>1</v>
          </cell>
          <cell r="BC28">
            <v>1</v>
          </cell>
          <cell r="BQ28">
            <v>1</v>
          </cell>
          <cell r="BR28">
            <v>1</v>
          </cell>
          <cell r="CK28">
            <v>2</v>
          </cell>
          <cell r="CM28">
            <v>1.0431893687707641</v>
          </cell>
          <cell r="CN28">
            <v>940</v>
          </cell>
          <cell r="CO28">
            <v>42.727272727272727</v>
          </cell>
          <cell r="CP28">
            <v>1980</v>
          </cell>
          <cell r="CQ28">
            <v>90</v>
          </cell>
          <cell r="CR28">
            <v>0</v>
          </cell>
          <cell r="CS28">
            <v>0</v>
          </cell>
          <cell r="CT28">
            <v>400</v>
          </cell>
          <cell r="CU28">
            <v>18.181818181818183</v>
          </cell>
          <cell r="CV28">
            <v>0</v>
          </cell>
          <cell r="CW28">
            <v>0</v>
          </cell>
          <cell r="CX28">
            <v>3320</v>
          </cell>
          <cell r="CY28">
            <v>150.90909090909091</v>
          </cell>
          <cell r="CZ28">
            <v>1390</v>
          </cell>
          <cell r="DA28">
            <v>63.18181818181818</v>
          </cell>
          <cell r="DB28">
            <v>4710</v>
          </cell>
          <cell r="DC28">
            <v>214.09090909090909</v>
          </cell>
        </row>
        <row r="29">
          <cell r="A29">
            <v>5</v>
          </cell>
          <cell r="B29" t="str">
            <v>CO</v>
          </cell>
          <cell r="C29" t="str">
            <v>AA</v>
          </cell>
          <cell r="D29" t="str">
            <v>51131-0B010</v>
          </cell>
          <cell r="E29" t="str">
            <v>CHANNEL, SIDE RAIL, INNER FR RH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1</v>
          </cell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Z29">
            <v>1</v>
          </cell>
          <cell r="BA29">
            <v>1</v>
          </cell>
          <cell r="BB29">
            <v>1</v>
          </cell>
          <cell r="BC29">
            <v>1</v>
          </cell>
          <cell r="BQ29">
            <v>1</v>
          </cell>
          <cell r="BR29">
            <v>1</v>
          </cell>
          <cell r="CK29">
            <v>2</v>
          </cell>
          <cell r="CM29">
            <v>1.0431893687707641</v>
          </cell>
          <cell r="CN29">
            <v>940</v>
          </cell>
          <cell r="CO29">
            <v>42.727272727272727</v>
          </cell>
          <cell r="CP29">
            <v>1980</v>
          </cell>
          <cell r="CQ29">
            <v>90</v>
          </cell>
          <cell r="CR29">
            <v>0</v>
          </cell>
          <cell r="CS29">
            <v>0</v>
          </cell>
          <cell r="CT29">
            <v>400</v>
          </cell>
          <cell r="CU29">
            <v>18.181818181818183</v>
          </cell>
          <cell r="CV29">
            <v>0</v>
          </cell>
          <cell r="CW29">
            <v>0</v>
          </cell>
          <cell r="CX29">
            <v>3320</v>
          </cell>
          <cell r="CY29">
            <v>150.90909090909091</v>
          </cell>
          <cell r="CZ29">
            <v>1390</v>
          </cell>
          <cell r="DA29">
            <v>63.18181818181818</v>
          </cell>
          <cell r="DB29">
            <v>4710</v>
          </cell>
          <cell r="DC29">
            <v>214.09090909090909</v>
          </cell>
        </row>
        <row r="30">
          <cell r="A30">
            <v>6</v>
          </cell>
          <cell r="B30" t="str">
            <v>CO</v>
          </cell>
          <cell r="C30" t="str">
            <v>AA</v>
          </cell>
          <cell r="D30" t="str">
            <v>51132-0B010</v>
          </cell>
          <cell r="E30" t="str">
            <v>CHANNEL, SIDE RAIL, INNER FR LH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  <cell r="BQ30">
            <v>1</v>
          </cell>
          <cell r="BR30">
            <v>1</v>
          </cell>
          <cell r="CK30">
            <v>2</v>
          </cell>
          <cell r="CM30">
            <v>1.0431893687707641</v>
          </cell>
          <cell r="CN30">
            <v>940</v>
          </cell>
          <cell r="CO30">
            <v>42.727272727272727</v>
          </cell>
          <cell r="CP30">
            <v>1980</v>
          </cell>
          <cell r="CQ30">
            <v>90</v>
          </cell>
          <cell r="CR30">
            <v>0</v>
          </cell>
          <cell r="CS30">
            <v>0</v>
          </cell>
          <cell r="CT30">
            <v>400</v>
          </cell>
          <cell r="CU30">
            <v>18.181818181818183</v>
          </cell>
          <cell r="CV30">
            <v>0</v>
          </cell>
          <cell r="CW30">
            <v>0</v>
          </cell>
          <cell r="CX30">
            <v>3320</v>
          </cell>
          <cell r="CY30">
            <v>150.90909090909091</v>
          </cell>
          <cell r="CZ30">
            <v>1390</v>
          </cell>
          <cell r="DA30">
            <v>63.18181818181818</v>
          </cell>
          <cell r="DB30">
            <v>4710</v>
          </cell>
          <cell r="DC30">
            <v>214.09090909090909</v>
          </cell>
        </row>
        <row r="31">
          <cell r="A31">
            <v>7</v>
          </cell>
          <cell r="B31" t="str">
            <v>CO</v>
          </cell>
          <cell r="C31" t="str">
            <v>AA</v>
          </cell>
          <cell r="D31" t="str">
            <v>51133-0B020</v>
          </cell>
          <cell r="E31" t="str">
            <v>CHANNEL SIDE RAIL INN RR RH (LONG)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X31">
            <v>1</v>
          </cell>
          <cell r="Y31">
            <v>1</v>
          </cell>
          <cell r="AB31">
            <v>1</v>
          </cell>
          <cell r="AC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Q31">
            <v>1</v>
          </cell>
          <cell r="BR31">
            <v>1</v>
          </cell>
          <cell r="CK31">
            <v>2</v>
          </cell>
          <cell r="CM31">
            <v>1.0431893687707641</v>
          </cell>
          <cell r="CN31">
            <v>940</v>
          </cell>
          <cell r="CO31">
            <v>42.727272727272727</v>
          </cell>
          <cell r="CP31">
            <v>1980</v>
          </cell>
          <cell r="CQ31">
            <v>90</v>
          </cell>
          <cell r="CR31">
            <v>0</v>
          </cell>
          <cell r="CS31">
            <v>0</v>
          </cell>
          <cell r="CT31">
            <v>400</v>
          </cell>
          <cell r="CU31">
            <v>18.181818181818183</v>
          </cell>
          <cell r="CV31">
            <v>0</v>
          </cell>
          <cell r="CW31">
            <v>0</v>
          </cell>
          <cell r="CX31">
            <v>3320</v>
          </cell>
          <cell r="CY31">
            <v>150.90909090909091</v>
          </cell>
          <cell r="CZ31">
            <v>1390</v>
          </cell>
          <cell r="DA31">
            <v>63.18181818181818</v>
          </cell>
          <cell r="DB31">
            <v>4710</v>
          </cell>
          <cell r="DC31">
            <v>214.09090909090909</v>
          </cell>
        </row>
        <row r="32">
          <cell r="A32">
            <v>8</v>
          </cell>
          <cell r="B32" t="str">
            <v>CO</v>
          </cell>
          <cell r="C32" t="str">
            <v>AA</v>
          </cell>
          <cell r="D32" t="str">
            <v>51134-0B020</v>
          </cell>
          <cell r="E32" t="str">
            <v>CHANNEL SIDE RAIL INN RR LH (LONG)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X32">
            <v>1</v>
          </cell>
          <cell r="Y32">
            <v>1</v>
          </cell>
          <cell r="AB32">
            <v>1</v>
          </cell>
          <cell r="AC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Q32">
            <v>1</v>
          </cell>
          <cell r="BR32">
            <v>1</v>
          </cell>
          <cell r="CK32">
            <v>2</v>
          </cell>
          <cell r="CM32">
            <v>1.0431893687707641</v>
          </cell>
          <cell r="CN32">
            <v>940</v>
          </cell>
          <cell r="CO32">
            <v>42.727272727272727</v>
          </cell>
          <cell r="CP32">
            <v>1980</v>
          </cell>
          <cell r="CQ32">
            <v>90</v>
          </cell>
          <cell r="CR32">
            <v>0</v>
          </cell>
          <cell r="CS32">
            <v>0</v>
          </cell>
          <cell r="CT32">
            <v>400</v>
          </cell>
          <cell r="CU32">
            <v>18.181818181818183</v>
          </cell>
          <cell r="CV32">
            <v>0</v>
          </cell>
          <cell r="CW32">
            <v>0</v>
          </cell>
          <cell r="CX32">
            <v>3320</v>
          </cell>
          <cell r="CY32">
            <v>150.90909090909091</v>
          </cell>
          <cell r="CZ32">
            <v>1390</v>
          </cell>
          <cell r="DA32">
            <v>63.18181818181818</v>
          </cell>
          <cell r="DB32">
            <v>4710</v>
          </cell>
          <cell r="DC32">
            <v>214.09090909090909</v>
          </cell>
        </row>
        <row r="33">
          <cell r="A33">
            <v>9</v>
          </cell>
          <cell r="B33" t="str">
            <v>CO</v>
          </cell>
          <cell r="C33" t="str">
            <v>AA-A</v>
          </cell>
          <cell r="D33" t="str">
            <v>58111-0B010</v>
          </cell>
          <cell r="E33" t="str">
            <v>PANEL, FR FLOOR (P/U)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CK33">
            <v>3</v>
          </cell>
          <cell r="CL33">
            <v>2</v>
          </cell>
          <cell r="CM33">
            <v>0.46179401993355484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2085</v>
          </cell>
          <cell r="DA33">
            <v>94.772727272727266</v>
          </cell>
          <cell r="DB33">
            <v>2085</v>
          </cell>
          <cell r="DC33">
            <v>94.772727272727266</v>
          </cell>
        </row>
        <row r="34">
          <cell r="A34">
            <v>10</v>
          </cell>
          <cell r="B34" t="str">
            <v>CO</v>
          </cell>
          <cell r="C34" t="str">
            <v>AA-A</v>
          </cell>
          <cell r="D34" t="str">
            <v>58111-0B02030</v>
          </cell>
          <cell r="E34" t="str">
            <v>PNL FR FLOOR (VAN,M/T,GL)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Q34">
            <v>1</v>
          </cell>
          <cell r="BR34">
            <v>1</v>
          </cell>
          <cell r="BU34">
            <v>1</v>
          </cell>
          <cell r="BV34">
            <v>1</v>
          </cell>
          <cell r="BX34">
            <v>1</v>
          </cell>
          <cell r="CB34">
            <v>1</v>
          </cell>
          <cell r="CK34">
            <v>3</v>
          </cell>
          <cell r="CL34">
            <v>2</v>
          </cell>
          <cell r="CM34">
            <v>0.9102990033222591</v>
          </cell>
          <cell r="CN34">
            <v>0</v>
          </cell>
          <cell r="CO34">
            <v>0</v>
          </cell>
          <cell r="CP34">
            <v>2970</v>
          </cell>
          <cell r="CQ34">
            <v>135</v>
          </cell>
          <cell r="CR34">
            <v>0</v>
          </cell>
          <cell r="CS34">
            <v>0</v>
          </cell>
          <cell r="CT34">
            <v>600</v>
          </cell>
          <cell r="CU34">
            <v>27.272727272727273</v>
          </cell>
          <cell r="CV34">
            <v>540</v>
          </cell>
          <cell r="CW34">
            <v>24.545454545454547</v>
          </cell>
          <cell r="CX34">
            <v>4110</v>
          </cell>
          <cell r="CY34">
            <v>186.81818181818184</v>
          </cell>
          <cell r="CZ34">
            <v>0</v>
          </cell>
          <cell r="DA34">
            <v>0</v>
          </cell>
          <cell r="DB34">
            <v>4110</v>
          </cell>
          <cell r="DC34">
            <v>186.81818181818184</v>
          </cell>
        </row>
        <row r="35">
          <cell r="A35">
            <v>11</v>
          </cell>
          <cell r="B35" t="str">
            <v>CO</v>
          </cell>
          <cell r="C35" t="str">
            <v>AA-A</v>
          </cell>
          <cell r="D35" t="str">
            <v>58111-0B070.80</v>
          </cell>
          <cell r="E35" t="str">
            <v xml:space="preserve">PNL FR FLOOR 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CF35">
            <v>1</v>
          </cell>
          <cell r="CG35">
            <v>1</v>
          </cell>
          <cell r="CH35">
            <v>1</v>
          </cell>
          <cell r="CI35">
            <v>1</v>
          </cell>
          <cell r="CK35">
            <v>3</v>
          </cell>
          <cell r="CL35">
            <v>2</v>
          </cell>
          <cell r="CM35">
            <v>0.65116279069767447</v>
          </cell>
          <cell r="CN35">
            <v>1410</v>
          </cell>
          <cell r="CO35">
            <v>64.090909090909093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1530</v>
          </cell>
          <cell r="CW35">
            <v>69.545454545454547</v>
          </cell>
          <cell r="CX35">
            <v>2940</v>
          </cell>
          <cell r="CY35">
            <v>133.63636363636363</v>
          </cell>
          <cell r="CZ35">
            <v>0</v>
          </cell>
          <cell r="DA35">
            <v>0</v>
          </cell>
          <cell r="DB35">
            <v>2940</v>
          </cell>
          <cell r="DC35">
            <v>133.63636363636363</v>
          </cell>
        </row>
        <row r="36">
          <cell r="A36">
            <v>12</v>
          </cell>
          <cell r="B36" t="str">
            <v>CO</v>
          </cell>
          <cell r="C36" t="str">
            <v>AA-A</v>
          </cell>
          <cell r="D36" t="str">
            <v>58111-0B140</v>
          </cell>
          <cell r="E36" t="str">
            <v xml:space="preserve">PNL FR FLOOR </v>
          </cell>
          <cell r="BT36">
            <v>1</v>
          </cell>
          <cell r="BW36">
            <v>1</v>
          </cell>
          <cell r="BY36">
            <v>1</v>
          </cell>
          <cell r="CC36">
            <v>1</v>
          </cell>
          <cell r="CK36">
            <v>3</v>
          </cell>
          <cell r="CL36">
            <v>3</v>
          </cell>
          <cell r="CM36">
            <v>5.9800664451827246E-2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270</v>
          </cell>
          <cell r="CW36">
            <v>12.272727272727273</v>
          </cell>
          <cell r="CX36">
            <v>270</v>
          </cell>
          <cell r="CY36">
            <v>12.272727272727273</v>
          </cell>
          <cell r="CZ36">
            <v>0</v>
          </cell>
          <cell r="DA36">
            <v>0</v>
          </cell>
          <cell r="DB36">
            <v>270</v>
          </cell>
          <cell r="DC36">
            <v>12.272727272727273</v>
          </cell>
        </row>
        <row r="37">
          <cell r="A37">
            <v>13</v>
          </cell>
          <cell r="B37" t="str">
            <v>CO</v>
          </cell>
          <cell r="C37" t="str">
            <v>H</v>
          </cell>
          <cell r="D37" t="str">
            <v>58311-0B110</v>
          </cell>
          <cell r="E37" t="str">
            <v>PANEL, RR FLOOR (LONG)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X37">
            <v>0</v>
          </cell>
          <cell r="Y37">
            <v>0</v>
          </cell>
          <cell r="AB37">
            <v>0</v>
          </cell>
          <cell r="AC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Y37" t="str">
            <v>*</v>
          </cell>
          <cell r="AZ37">
            <v>1</v>
          </cell>
          <cell r="BA37">
            <v>1</v>
          </cell>
          <cell r="BB37">
            <v>1</v>
          </cell>
          <cell r="BC37">
            <v>1</v>
          </cell>
          <cell r="BD37" t="str">
            <v>*</v>
          </cell>
          <cell r="BS37" t="str">
            <v>*</v>
          </cell>
          <cell r="CK37">
            <v>3</v>
          </cell>
          <cell r="CL37">
            <v>3</v>
          </cell>
          <cell r="CM37">
            <v>0.65780730897009965</v>
          </cell>
          <cell r="CN37">
            <v>0</v>
          </cell>
          <cell r="CO37">
            <v>0</v>
          </cell>
          <cell r="CP37">
            <v>2970</v>
          </cell>
          <cell r="CQ37">
            <v>135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2970</v>
          </cell>
          <cell r="CY37">
            <v>135</v>
          </cell>
          <cell r="CZ37">
            <v>0</v>
          </cell>
          <cell r="DA37">
            <v>0</v>
          </cell>
          <cell r="DB37">
            <v>2970</v>
          </cell>
          <cell r="DC37">
            <v>135</v>
          </cell>
        </row>
        <row r="38">
          <cell r="A38">
            <v>14</v>
          </cell>
          <cell r="B38" t="str">
            <v>CO</v>
          </cell>
          <cell r="C38" t="str">
            <v>A</v>
          </cell>
          <cell r="D38" t="str">
            <v>61545-0B010</v>
          </cell>
          <cell r="E38" t="str">
            <v>PANEL, CAB RR PILLAR, INNER LWR RH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BE38">
            <v>1</v>
          </cell>
          <cell r="CK38">
            <v>1</v>
          </cell>
          <cell r="CM38">
            <v>0.19763174063568098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197.30730897009963</v>
          </cell>
          <cell r="CS38">
            <v>8.9685140440954374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197.30730897009963</v>
          </cell>
          <cell r="CY38">
            <v>8.9685140440954374</v>
          </cell>
          <cell r="CZ38">
            <v>695</v>
          </cell>
          <cell r="DA38">
            <v>31.59090909090909</v>
          </cell>
          <cell r="DB38">
            <v>892.3073089700996</v>
          </cell>
          <cell r="DC38">
            <v>40.559423135004529</v>
          </cell>
        </row>
        <row r="39">
          <cell r="A39">
            <v>15</v>
          </cell>
          <cell r="B39" t="str">
            <v>CO</v>
          </cell>
          <cell r="C39" t="str">
            <v>A</v>
          </cell>
          <cell r="D39" t="str">
            <v>61546-0B010</v>
          </cell>
          <cell r="E39" t="str">
            <v>PANEL, CAB RR PILLAR, INNER LWR LH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BE39">
            <v>1</v>
          </cell>
          <cell r="CK39">
            <v>1</v>
          </cell>
          <cell r="CM39">
            <v>0.19763174063568098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197.30730897009963</v>
          </cell>
          <cell r="CS39">
            <v>8.9685140440954374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197.30730897009963</v>
          </cell>
          <cell r="CY39">
            <v>8.9685140440954374</v>
          </cell>
          <cell r="CZ39">
            <v>695</v>
          </cell>
          <cell r="DA39">
            <v>31.59090909090909</v>
          </cell>
          <cell r="DB39">
            <v>892.3073089700996</v>
          </cell>
          <cell r="DC39">
            <v>40.559423135004529</v>
          </cell>
        </row>
        <row r="40">
          <cell r="A40">
            <v>16</v>
          </cell>
          <cell r="B40" t="str">
            <v>CO</v>
          </cell>
          <cell r="C40" t="str">
            <v>AA-A</v>
          </cell>
          <cell r="D40" t="str">
            <v>63111-0B050</v>
          </cell>
          <cell r="E40" t="str">
            <v>PANEL, ROOF (P/U)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CK40">
            <v>3</v>
          </cell>
          <cell r="CL40">
            <v>2</v>
          </cell>
          <cell r="CM40">
            <v>0.46179401993355484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2085</v>
          </cell>
          <cell r="DA40">
            <v>94.772727272727266</v>
          </cell>
          <cell r="DB40">
            <v>2085</v>
          </cell>
          <cell r="DC40">
            <v>94.772727272727266</v>
          </cell>
        </row>
        <row r="41">
          <cell r="A41">
            <v>17</v>
          </cell>
          <cell r="B41" t="str">
            <v>CO</v>
          </cell>
          <cell r="C41" t="str">
            <v>AA-A</v>
          </cell>
          <cell r="D41" t="str">
            <v>63111-0B070</v>
          </cell>
          <cell r="E41" t="str">
            <v xml:space="preserve">PANEL, ROOF </v>
          </cell>
          <cell r="BE41">
            <v>1</v>
          </cell>
          <cell r="CK41">
            <v>3</v>
          </cell>
          <cell r="CL41">
            <v>3</v>
          </cell>
          <cell r="CM41">
            <v>0.13110120197348812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591.92192691029891</v>
          </cell>
          <cell r="CS41">
            <v>26.905542132286314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591.92192691029891</v>
          </cell>
          <cell r="CY41">
            <v>26.905542132286314</v>
          </cell>
          <cell r="CZ41">
            <v>0</v>
          </cell>
          <cell r="DA41">
            <v>0</v>
          </cell>
          <cell r="DB41">
            <v>591.92192691029891</v>
          </cell>
          <cell r="DC41">
            <v>26.905542132286314</v>
          </cell>
        </row>
        <row r="42">
          <cell r="A42">
            <v>18</v>
          </cell>
          <cell r="B42" t="str">
            <v>CO</v>
          </cell>
          <cell r="C42" t="str">
            <v>A</v>
          </cell>
          <cell r="D42" t="str">
            <v>64111-0B010</v>
          </cell>
          <cell r="E42" t="str">
            <v>PANEL, BACK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BE42">
            <v>1</v>
          </cell>
          <cell r="CK42">
            <v>1</v>
          </cell>
          <cell r="CM42">
            <v>0.19763174063568098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197.30730897009963</v>
          </cell>
          <cell r="CS42">
            <v>8.9685140440954374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197.30730897009963</v>
          </cell>
          <cell r="CY42">
            <v>8.9685140440954374</v>
          </cell>
          <cell r="CZ42">
            <v>695</v>
          </cell>
          <cell r="DA42">
            <v>31.59090909090909</v>
          </cell>
          <cell r="DB42">
            <v>892.3073089700996</v>
          </cell>
          <cell r="DC42">
            <v>40.559423135004529</v>
          </cell>
        </row>
        <row r="43">
          <cell r="A43">
            <v>19</v>
          </cell>
          <cell r="B43" t="str">
            <v>CO</v>
          </cell>
          <cell r="C43" t="str">
            <v>A</v>
          </cell>
          <cell r="D43" t="str">
            <v>65311-YZC10</v>
          </cell>
          <cell r="E43" t="str">
            <v>PNL FLOOR CENTER</v>
          </cell>
          <cell r="F43">
            <v>1</v>
          </cell>
          <cell r="H43">
            <v>1</v>
          </cell>
          <cell r="CK43">
            <v>1</v>
          </cell>
          <cell r="CL43">
            <v>1</v>
          </cell>
          <cell r="CM43">
            <v>0.15393133997785161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695</v>
          </cell>
          <cell r="DA43">
            <v>31.59090909090909</v>
          </cell>
          <cell r="DB43">
            <v>695</v>
          </cell>
          <cell r="DC43">
            <v>31.59090909090909</v>
          </cell>
        </row>
        <row r="44">
          <cell r="A44">
            <v>20</v>
          </cell>
          <cell r="B44" t="str">
            <v>CO</v>
          </cell>
          <cell r="C44" t="str">
            <v>H</v>
          </cell>
          <cell r="D44" t="str">
            <v>67143-0B100</v>
          </cell>
          <cell r="E44" t="str">
            <v>PANEL, RR DOOR, INSIDE RH</v>
          </cell>
          <cell r="F44" t="str">
            <v/>
          </cell>
          <cell r="H44" t="str">
            <v/>
          </cell>
          <cell r="J44" t="str">
            <v/>
          </cell>
          <cell r="L44" t="str">
            <v/>
          </cell>
          <cell r="N44" t="str">
            <v/>
          </cell>
          <cell r="P44" t="str">
            <v/>
          </cell>
          <cell r="Q44">
            <v>1</v>
          </cell>
          <cell r="R44">
            <v>1</v>
          </cell>
          <cell r="S44">
            <v>0</v>
          </cell>
          <cell r="T44">
            <v>0</v>
          </cell>
          <cell r="U44">
            <v>1</v>
          </cell>
          <cell r="V44" t="str">
            <v/>
          </cell>
          <cell r="X44" t="str">
            <v/>
          </cell>
          <cell r="Z44" t="str">
            <v/>
          </cell>
          <cell r="AB44">
            <v>0</v>
          </cell>
          <cell r="AC44">
            <v>0</v>
          </cell>
          <cell r="AD44" t="str">
            <v/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 t="str">
            <v/>
          </cell>
          <cell r="AL44" t="str">
            <v/>
          </cell>
          <cell r="AN44" t="str">
            <v/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CK44">
            <v>0.5</v>
          </cell>
          <cell r="CM44">
            <v>0.10963455149501661</v>
          </cell>
          <cell r="CN44">
            <v>0</v>
          </cell>
          <cell r="CO44">
            <v>0</v>
          </cell>
          <cell r="CP44">
            <v>495</v>
          </cell>
          <cell r="CQ44">
            <v>22.5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495</v>
          </cell>
          <cell r="CY44">
            <v>22.5</v>
          </cell>
          <cell r="CZ44">
            <v>0</v>
          </cell>
          <cell r="DA44">
            <v>0</v>
          </cell>
          <cell r="DB44">
            <v>495</v>
          </cell>
          <cell r="DC44">
            <v>22.5</v>
          </cell>
        </row>
        <row r="45">
          <cell r="A45">
            <v>21</v>
          </cell>
          <cell r="B45" t="str">
            <v>CO</v>
          </cell>
          <cell r="C45" t="str">
            <v>H</v>
          </cell>
          <cell r="D45" t="str">
            <v>67144-0B100</v>
          </cell>
          <cell r="E45" t="str">
            <v>PANEL, RR DOOR, INSIDE LH</v>
          </cell>
          <cell r="F45" t="str">
            <v/>
          </cell>
          <cell r="H45" t="str">
            <v/>
          </cell>
          <cell r="J45" t="str">
            <v/>
          </cell>
          <cell r="L45" t="str">
            <v/>
          </cell>
          <cell r="N45" t="str">
            <v/>
          </cell>
          <cell r="P45" t="str">
            <v/>
          </cell>
          <cell r="Q45">
            <v>1</v>
          </cell>
          <cell r="R45">
            <v>1</v>
          </cell>
          <cell r="S45">
            <v>0</v>
          </cell>
          <cell r="T45">
            <v>0</v>
          </cell>
          <cell r="U45">
            <v>1</v>
          </cell>
          <cell r="V45" t="str">
            <v/>
          </cell>
          <cell r="X45" t="str">
            <v/>
          </cell>
          <cell r="Z45" t="str">
            <v/>
          </cell>
          <cell r="AB45">
            <v>0</v>
          </cell>
          <cell r="AC45">
            <v>0</v>
          </cell>
          <cell r="AD45" t="str">
            <v/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 t="str">
            <v/>
          </cell>
          <cell r="AL45" t="str">
            <v/>
          </cell>
          <cell r="AN45" t="str">
            <v/>
          </cell>
          <cell r="AZ45">
            <v>1</v>
          </cell>
          <cell r="BA45">
            <v>1</v>
          </cell>
          <cell r="BB45">
            <v>1</v>
          </cell>
          <cell r="BC45">
            <v>1</v>
          </cell>
          <cell r="CK45">
            <v>0.5</v>
          </cell>
          <cell r="CM45">
            <v>0.10963455149501661</v>
          </cell>
          <cell r="CN45">
            <v>0</v>
          </cell>
          <cell r="CO45">
            <v>0</v>
          </cell>
          <cell r="CP45">
            <v>495</v>
          </cell>
          <cell r="CQ45">
            <v>22.5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495</v>
          </cell>
          <cell r="CY45">
            <v>22.5</v>
          </cell>
          <cell r="CZ45">
            <v>0</v>
          </cell>
          <cell r="DA45">
            <v>0</v>
          </cell>
          <cell r="DB45">
            <v>495</v>
          </cell>
          <cell r="DC45">
            <v>22.5</v>
          </cell>
        </row>
        <row r="46">
          <cell r="B46">
            <v>2</v>
          </cell>
          <cell r="C46" t="str">
            <v>H</v>
          </cell>
          <cell r="D46" t="str">
            <v>67143-0B050</v>
          </cell>
          <cell r="E46" t="str">
            <v>PANEL, RR DOOR, INSIDE RH</v>
          </cell>
          <cell r="F46" t="str">
            <v/>
          </cell>
          <cell r="H46" t="str">
            <v/>
          </cell>
          <cell r="J46" t="str">
            <v/>
          </cell>
          <cell r="L46" t="str">
            <v/>
          </cell>
          <cell r="N46" t="str">
            <v/>
          </cell>
          <cell r="O46">
            <v>1</v>
          </cell>
          <cell r="P46">
            <v>1</v>
          </cell>
          <cell r="S46">
            <v>1</v>
          </cell>
          <cell r="T46">
            <v>1</v>
          </cell>
          <cell r="V46" t="str">
            <v/>
          </cell>
          <cell r="X46" t="str">
            <v/>
          </cell>
          <cell r="Z46" t="str">
            <v/>
          </cell>
          <cell r="AB46" t="str">
            <v/>
          </cell>
          <cell r="AD46" t="str">
            <v/>
          </cell>
          <cell r="AF46" t="str">
            <v/>
          </cell>
          <cell r="AH46" t="str">
            <v/>
          </cell>
          <cell r="AJ46" t="str">
            <v/>
          </cell>
          <cell r="AL46" t="str">
            <v/>
          </cell>
          <cell r="AN46" t="str">
            <v/>
          </cell>
          <cell r="AP46" t="str">
            <v/>
          </cell>
          <cell r="AR46" t="str">
            <v/>
          </cell>
          <cell r="AT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CL46">
            <v>4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</row>
        <row r="47">
          <cell r="B47">
            <v>2</v>
          </cell>
          <cell r="C47" t="str">
            <v>H</v>
          </cell>
          <cell r="D47" t="str">
            <v>67144-0B050</v>
          </cell>
          <cell r="E47" t="str">
            <v>PANEL, RR DOOR, INSIDE LH</v>
          </cell>
          <cell r="H47" t="str">
            <v/>
          </cell>
          <cell r="J47" t="str">
            <v/>
          </cell>
          <cell r="L47" t="str">
            <v/>
          </cell>
          <cell r="N47" t="str">
            <v/>
          </cell>
          <cell r="O47">
            <v>1</v>
          </cell>
          <cell r="P47">
            <v>1</v>
          </cell>
          <cell r="S47">
            <v>1</v>
          </cell>
          <cell r="T47">
            <v>1</v>
          </cell>
          <cell r="V47" t="str">
            <v/>
          </cell>
          <cell r="X47" t="str">
            <v/>
          </cell>
          <cell r="Z47" t="str">
            <v/>
          </cell>
          <cell r="AB47" t="str">
            <v/>
          </cell>
          <cell r="AD47" t="str">
            <v/>
          </cell>
          <cell r="AF47" t="str">
            <v/>
          </cell>
          <cell r="AH47" t="str">
            <v/>
          </cell>
          <cell r="AJ47" t="str">
            <v/>
          </cell>
          <cell r="AL47" t="str">
            <v/>
          </cell>
          <cell r="AN47" t="str">
            <v/>
          </cell>
          <cell r="AP47" t="str">
            <v/>
          </cell>
          <cell r="AR47" t="str">
            <v/>
          </cell>
          <cell r="AT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CL47">
            <v>4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</row>
        <row r="48">
          <cell r="B48">
            <v>4</v>
          </cell>
          <cell r="C48" t="str">
            <v>H</v>
          </cell>
          <cell r="D48" t="str">
            <v>58311-0B120</v>
          </cell>
          <cell r="E48" t="str">
            <v>PANEL, RR FLOOR</v>
          </cell>
          <cell r="F48" t="str">
            <v/>
          </cell>
          <cell r="H48" t="str">
            <v/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P48" t="str">
            <v/>
          </cell>
          <cell r="R48" t="str">
            <v/>
          </cell>
          <cell r="T48" t="str">
            <v/>
          </cell>
          <cell r="V48">
            <v>1</v>
          </cell>
          <cell r="W48">
            <v>1</v>
          </cell>
          <cell r="X48" t="str">
            <v/>
          </cell>
          <cell r="Z48">
            <v>1</v>
          </cell>
          <cell r="AA48">
            <v>1</v>
          </cell>
          <cell r="AB48" t="str">
            <v/>
          </cell>
          <cell r="AD48">
            <v>1</v>
          </cell>
          <cell r="AE48">
            <v>1</v>
          </cell>
          <cell r="AF48" t="str">
            <v/>
          </cell>
          <cell r="AH48" t="str">
            <v/>
          </cell>
          <cell r="AJ48" t="str">
            <v/>
          </cell>
          <cell r="AL48" t="str">
            <v/>
          </cell>
          <cell r="AN48" t="str">
            <v/>
          </cell>
          <cell r="AP48" t="str">
            <v/>
          </cell>
          <cell r="AR48" t="str">
            <v/>
          </cell>
          <cell r="AT48" t="str">
            <v/>
          </cell>
          <cell r="CL48">
            <v>3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</row>
        <row r="49">
          <cell r="B49">
            <v>4</v>
          </cell>
          <cell r="C49" t="str">
            <v>H</v>
          </cell>
          <cell r="D49" t="str">
            <v>58311-0B130</v>
          </cell>
          <cell r="E49" t="str">
            <v>PANEL, RR FLOOR</v>
          </cell>
          <cell r="F49" t="str">
            <v/>
          </cell>
          <cell r="H49" t="str">
            <v/>
          </cell>
          <cell r="J49" t="str">
            <v/>
          </cell>
          <cell r="L49" t="str">
            <v/>
          </cell>
          <cell r="N49" t="str">
            <v/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 t="str">
            <v/>
          </cell>
          <cell r="X49">
            <v>1</v>
          </cell>
          <cell r="Y49">
            <v>1</v>
          </cell>
          <cell r="Z49" t="str">
            <v/>
          </cell>
          <cell r="AB49">
            <v>1</v>
          </cell>
          <cell r="AC49">
            <v>1</v>
          </cell>
          <cell r="AD49" t="str">
            <v/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 t="str">
            <v/>
          </cell>
          <cell r="AL49" t="str">
            <v/>
          </cell>
          <cell r="AN49" t="str">
            <v/>
          </cell>
          <cell r="CL49">
            <v>3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</row>
        <row r="50">
          <cell r="B50" t="str">
            <v>A</v>
          </cell>
          <cell r="C50" t="str">
            <v>H-A</v>
          </cell>
          <cell r="D50" t="str">
            <v>67143-0B020</v>
          </cell>
          <cell r="E50" t="str">
            <v>PANEL, RR DOOR, INSIDE RH (LONG)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AB50">
            <v>1</v>
          </cell>
          <cell r="AC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CL50">
            <v>0.5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</row>
        <row r="51">
          <cell r="B51" t="str">
            <v>A</v>
          </cell>
          <cell r="C51" t="str">
            <v>H-A</v>
          </cell>
          <cell r="D51" t="str">
            <v>67144-0B020</v>
          </cell>
          <cell r="E51" t="str">
            <v>PANEL, RR DOOR, INSIDE, LH (LONG)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AB51">
            <v>1</v>
          </cell>
          <cell r="AC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Z51">
            <v>1</v>
          </cell>
          <cell r="BA51">
            <v>1</v>
          </cell>
          <cell r="BB51">
            <v>1</v>
          </cell>
          <cell r="BC51">
            <v>1</v>
          </cell>
          <cell r="CL51">
            <v>0.5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</row>
        <row r="52">
          <cell r="B52" t="str">
            <v>AA</v>
          </cell>
          <cell r="C52" t="str">
            <v>AA</v>
          </cell>
          <cell r="D52" t="str">
            <v>51111-0B010</v>
          </cell>
          <cell r="E52" t="str">
            <v>RAIL, FRAME SIDE, RH (SHORT)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V52">
            <v>1</v>
          </cell>
          <cell r="W52">
            <v>1</v>
          </cell>
          <cell r="Z52">
            <v>1</v>
          </cell>
          <cell r="AA52">
            <v>1</v>
          </cell>
          <cell r="AD52">
            <v>1</v>
          </cell>
          <cell r="AE52">
            <v>1</v>
          </cell>
          <cell r="CL52">
            <v>2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</row>
        <row r="53">
          <cell r="B53" t="str">
            <v>AA</v>
          </cell>
          <cell r="C53" t="str">
            <v>AA</v>
          </cell>
          <cell r="D53" t="str">
            <v>51121-0B010</v>
          </cell>
          <cell r="E53" t="str">
            <v>RAIL, SIDE FRAME, LH (SHORT)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V53">
            <v>1</v>
          </cell>
          <cell r="W53">
            <v>1</v>
          </cell>
          <cell r="Z53">
            <v>1</v>
          </cell>
          <cell r="AA53">
            <v>1</v>
          </cell>
          <cell r="AD53">
            <v>1</v>
          </cell>
          <cell r="AE53">
            <v>1</v>
          </cell>
          <cell r="CL53">
            <v>2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</row>
        <row r="54">
          <cell r="B54" t="str">
            <v>AA</v>
          </cell>
          <cell r="C54" t="str">
            <v>AA</v>
          </cell>
          <cell r="D54" t="str">
            <v>51133-0B010</v>
          </cell>
          <cell r="E54" t="str">
            <v>CHANNEL SIDE RAIL INN RR RH (SHORT)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V54">
            <v>1</v>
          </cell>
          <cell r="W54">
            <v>1</v>
          </cell>
          <cell r="Z54">
            <v>1</v>
          </cell>
          <cell r="AA54">
            <v>1</v>
          </cell>
          <cell r="AD54">
            <v>1</v>
          </cell>
          <cell r="AE54">
            <v>1</v>
          </cell>
          <cell r="CL54">
            <v>2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</row>
        <row r="55">
          <cell r="B55" t="str">
            <v>AA</v>
          </cell>
          <cell r="C55" t="str">
            <v>AA</v>
          </cell>
          <cell r="D55" t="str">
            <v>51134-0B010</v>
          </cell>
          <cell r="E55" t="str">
            <v>CHANNEL SIDE RAIL INN RR LH (SHORT)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V55">
            <v>1</v>
          </cell>
          <cell r="W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CL55">
            <v>2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</row>
        <row r="56">
          <cell r="B56" t="str">
            <v>AA</v>
          </cell>
          <cell r="C56" t="str">
            <v>AA-A</v>
          </cell>
          <cell r="D56" t="str">
            <v>58111-0B030</v>
          </cell>
          <cell r="E56" t="str">
            <v>PNL FR FLOOR (A/T)</v>
          </cell>
          <cell r="M56">
            <v>0</v>
          </cell>
          <cell r="R56">
            <v>0</v>
          </cell>
          <cell r="AE56">
            <v>0</v>
          </cell>
          <cell r="AH56">
            <v>0</v>
          </cell>
          <cell r="AI56">
            <v>0</v>
          </cell>
          <cell r="BJ56">
            <v>0</v>
          </cell>
          <cell r="CL56">
            <v>3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</row>
        <row r="57">
          <cell r="B57" t="str">
            <v>AA</v>
          </cell>
          <cell r="C57" t="str">
            <v>AA-A</v>
          </cell>
          <cell r="D57" t="str">
            <v>58111-0B080</v>
          </cell>
          <cell r="E57" t="str">
            <v xml:space="preserve">PNL FR FLOOR </v>
          </cell>
          <cell r="AN57">
            <v>0</v>
          </cell>
          <cell r="AS57">
            <v>0</v>
          </cell>
          <cell r="AV57">
            <v>0</v>
          </cell>
          <cell r="AX57">
            <v>0</v>
          </cell>
          <cell r="CL57">
            <v>3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</row>
        <row r="58">
          <cell r="B58" t="str">
            <v>AA</v>
          </cell>
          <cell r="C58" t="str">
            <v>AA-A</v>
          </cell>
          <cell r="D58" t="str">
            <v>58111-0B120</v>
          </cell>
          <cell r="E58" t="str">
            <v xml:space="preserve">PNL FR FLOOR </v>
          </cell>
          <cell r="BZ58">
            <v>1</v>
          </cell>
          <cell r="CD58">
            <v>1</v>
          </cell>
          <cell r="CL58">
            <v>3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</row>
        <row r="59">
          <cell r="B59" t="str">
            <v>AA</v>
          </cell>
          <cell r="C59" t="str">
            <v>AA-A</v>
          </cell>
          <cell r="D59" t="str">
            <v>58111-0B150</v>
          </cell>
          <cell r="E59" t="str">
            <v xml:space="preserve">PNL FR FLOOR </v>
          </cell>
          <cell r="CA59">
            <v>1</v>
          </cell>
          <cell r="CE59">
            <v>1</v>
          </cell>
          <cell r="CL59">
            <v>3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</row>
        <row r="61">
          <cell r="CK61">
            <v>42</v>
          </cell>
          <cell r="CM61">
            <v>11.137063976482963</v>
          </cell>
        </row>
        <row r="64">
          <cell r="A64">
            <v>12</v>
          </cell>
          <cell r="B64">
            <v>12</v>
          </cell>
          <cell r="D64" t="str">
            <v>63111-4591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CK64">
            <v>1</v>
          </cell>
          <cell r="CM64" t="e">
            <v>#REF!</v>
          </cell>
          <cell r="CZ64" t="e">
            <v>#REF!</v>
          </cell>
          <cell r="DA64" t="e">
            <v>#REF!</v>
          </cell>
        </row>
        <row r="66">
          <cell r="D66" t="str">
            <v>LOADING AA =</v>
          </cell>
          <cell r="F66" t="str">
            <v>DOM =</v>
          </cell>
          <cell r="G66">
            <v>0.99760765550239228</v>
          </cell>
          <cell r="H66" t="str">
            <v>PHIL =</v>
          </cell>
          <cell r="I66">
            <v>0.42165071770334928</v>
          </cell>
          <cell r="J66" t="str">
            <v>MAL =</v>
          </cell>
          <cell r="K66">
            <v>1.1979665071770333</v>
          </cell>
          <cell r="L66" t="str">
            <v>TAI=</v>
          </cell>
          <cell r="M66">
            <v>7.0804058242858722E-2</v>
          </cell>
          <cell r="N66" t="str">
            <v>VIET=</v>
          </cell>
          <cell r="O66">
            <v>0.17942583732057418</v>
          </cell>
          <cell r="CK66" t="str">
            <v>SA =</v>
          </cell>
          <cell r="CL66">
            <v>0.13995215311004786</v>
          </cell>
          <cell r="CO66" t="str">
            <v>AFC =</v>
          </cell>
        </row>
        <row r="67">
          <cell r="D67" t="str">
            <v>TOT. LOADING AA =</v>
          </cell>
          <cell r="F67">
            <v>3.6688901826447728</v>
          </cell>
          <cell r="H67" t="str">
            <v>HOURS</v>
          </cell>
          <cell r="K67" t="str">
            <v>BY=</v>
          </cell>
          <cell r="L67">
            <v>0.66148325358851678</v>
          </cell>
        </row>
        <row r="69">
          <cell r="A69" t="str">
            <v>LINE B123 - 500 T</v>
          </cell>
        </row>
        <row r="70">
          <cell r="A70">
            <v>1</v>
          </cell>
          <cell r="B70" t="str">
            <v>CO</v>
          </cell>
          <cell r="C70" t="str">
            <v>B</v>
          </cell>
          <cell r="D70" t="str">
            <v>48414-0B010</v>
          </cell>
          <cell r="E70" t="str">
            <v>BKT SPRING NO 3 (LONG)</v>
          </cell>
          <cell r="F70">
            <v>2</v>
          </cell>
          <cell r="G70">
            <v>2</v>
          </cell>
          <cell r="H70">
            <v>2</v>
          </cell>
          <cell r="I70">
            <v>2</v>
          </cell>
          <cell r="O70">
            <v>2</v>
          </cell>
          <cell r="P70">
            <v>2</v>
          </cell>
          <cell r="Q70">
            <v>2</v>
          </cell>
          <cell r="R70">
            <v>2</v>
          </cell>
          <cell r="S70">
            <v>2</v>
          </cell>
          <cell r="T70">
            <v>2</v>
          </cell>
          <cell r="U70">
            <v>2</v>
          </cell>
          <cell r="X70">
            <v>2</v>
          </cell>
          <cell r="Y70">
            <v>2</v>
          </cell>
          <cell r="AB70">
            <v>2</v>
          </cell>
          <cell r="AC70">
            <v>2</v>
          </cell>
          <cell r="AF70">
            <v>2</v>
          </cell>
          <cell r="AG70">
            <v>2</v>
          </cell>
          <cell r="AH70">
            <v>2</v>
          </cell>
          <cell r="AI70">
            <v>2</v>
          </cell>
          <cell r="AZ70">
            <v>2</v>
          </cell>
          <cell r="BA70">
            <v>2</v>
          </cell>
          <cell r="BB70">
            <v>2</v>
          </cell>
          <cell r="BC70">
            <v>2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Q70">
            <v>1</v>
          </cell>
          <cell r="BR70">
            <v>1</v>
          </cell>
          <cell r="BT70">
            <v>2</v>
          </cell>
          <cell r="BU70">
            <v>2</v>
          </cell>
          <cell r="BV70">
            <v>2</v>
          </cell>
          <cell r="BW70">
            <v>2</v>
          </cell>
          <cell r="BX70">
            <v>2</v>
          </cell>
          <cell r="BY70">
            <v>2</v>
          </cell>
          <cell r="CB70">
            <v>2</v>
          </cell>
          <cell r="CC70">
            <v>2</v>
          </cell>
          <cell r="CF70">
            <v>2</v>
          </cell>
          <cell r="CG70">
            <v>2</v>
          </cell>
          <cell r="CH70">
            <v>2</v>
          </cell>
          <cell r="CI70">
            <v>2</v>
          </cell>
          <cell r="CK70">
            <v>3</v>
          </cell>
          <cell r="CL70">
            <v>3</v>
          </cell>
          <cell r="CM70">
            <v>3.4086378737541527</v>
          </cell>
          <cell r="CN70">
            <v>0</v>
          </cell>
          <cell r="CO70">
            <v>0</v>
          </cell>
          <cell r="CP70">
            <v>5940</v>
          </cell>
          <cell r="CQ70">
            <v>270</v>
          </cell>
          <cell r="CR70">
            <v>0</v>
          </cell>
          <cell r="CS70">
            <v>0</v>
          </cell>
          <cell r="CT70">
            <v>600</v>
          </cell>
          <cell r="CU70">
            <v>27.272727272727273</v>
          </cell>
          <cell r="CV70">
            <v>4680</v>
          </cell>
          <cell r="CW70">
            <v>212.72727272727272</v>
          </cell>
          <cell r="CX70">
            <v>11220</v>
          </cell>
          <cell r="CY70">
            <v>510</v>
          </cell>
          <cell r="CZ70">
            <v>4170</v>
          </cell>
          <cell r="DA70">
            <v>189.54545454545453</v>
          </cell>
          <cell r="DB70">
            <v>15390</v>
          </cell>
          <cell r="DC70">
            <v>699.5454545454545</v>
          </cell>
        </row>
        <row r="71">
          <cell r="A71">
            <v>2</v>
          </cell>
          <cell r="B71" t="str">
            <v>CO</v>
          </cell>
          <cell r="C71" t="str">
            <v>B</v>
          </cell>
          <cell r="D71" t="str">
            <v>51251-0B010</v>
          </cell>
          <cell r="E71" t="str">
            <v>CROSSMEMBER FRAME NO5 (LONG)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Z71">
            <v>1</v>
          </cell>
          <cell r="BA71">
            <v>1</v>
          </cell>
          <cell r="BB71">
            <v>1</v>
          </cell>
          <cell r="BC71">
            <v>1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Q71">
            <v>1</v>
          </cell>
          <cell r="BR71">
            <v>1</v>
          </cell>
          <cell r="CK71">
            <v>3</v>
          </cell>
          <cell r="CM71">
            <v>1.2524916943521596</v>
          </cell>
          <cell r="CN71">
            <v>0</v>
          </cell>
          <cell r="CO71">
            <v>0</v>
          </cell>
          <cell r="CP71">
            <v>2970</v>
          </cell>
          <cell r="CQ71">
            <v>135</v>
          </cell>
          <cell r="CR71">
            <v>0</v>
          </cell>
          <cell r="CS71">
            <v>0</v>
          </cell>
          <cell r="CT71">
            <v>600</v>
          </cell>
          <cell r="CU71">
            <v>27.272727272727273</v>
          </cell>
          <cell r="CV71">
            <v>0</v>
          </cell>
          <cell r="CW71">
            <v>0</v>
          </cell>
          <cell r="CX71">
            <v>3570</v>
          </cell>
          <cell r="CY71">
            <v>162.27272727272728</v>
          </cell>
          <cell r="CZ71">
            <v>2085</v>
          </cell>
          <cell r="DA71">
            <v>94.772727272727266</v>
          </cell>
          <cell r="DB71">
            <v>5655</v>
          </cell>
          <cell r="DC71">
            <v>257.0454545454545</v>
          </cell>
        </row>
        <row r="72">
          <cell r="A72">
            <v>3</v>
          </cell>
          <cell r="B72" t="str">
            <v>CO</v>
          </cell>
          <cell r="C72" t="str">
            <v>B</v>
          </cell>
          <cell r="D72" t="str">
            <v>51261-0B010</v>
          </cell>
          <cell r="E72" t="str">
            <v>CROSSMEMBER, FRAME, NO. 6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Q72">
            <v>1</v>
          </cell>
          <cell r="BR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3</v>
          </cell>
          <cell r="CL72">
            <v>3</v>
          </cell>
          <cell r="CM72">
            <v>1.7774086378737541</v>
          </cell>
          <cell r="CN72">
            <v>0</v>
          </cell>
          <cell r="CO72">
            <v>0</v>
          </cell>
          <cell r="CP72">
            <v>2970</v>
          </cell>
          <cell r="CQ72">
            <v>135</v>
          </cell>
          <cell r="CR72">
            <v>0</v>
          </cell>
          <cell r="CS72">
            <v>0</v>
          </cell>
          <cell r="CT72">
            <v>600</v>
          </cell>
          <cell r="CU72">
            <v>27.272727272727273</v>
          </cell>
          <cell r="CV72">
            <v>2370</v>
          </cell>
          <cell r="CW72">
            <v>107.72727272727273</v>
          </cell>
          <cell r="CX72">
            <v>5940</v>
          </cell>
          <cell r="CY72">
            <v>270</v>
          </cell>
          <cell r="CZ72">
            <v>2085</v>
          </cell>
          <cell r="DA72">
            <v>94.772727272727266</v>
          </cell>
          <cell r="DB72">
            <v>8025</v>
          </cell>
          <cell r="DC72">
            <v>364.77272727272725</v>
          </cell>
        </row>
        <row r="73">
          <cell r="A73">
            <v>4</v>
          </cell>
          <cell r="B73" t="str">
            <v>CO</v>
          </cell>
          <cell r="C73" t="str">
            <v>B4</v>
          </cell>
          <cell r="D73" t="str">
            <v>51513-0B010</v>
          </cell>
          <cell r="E73" t="str">
            <v>SUPPORT, UPR CONTROL ARM, RH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Z73">
            <v>1</v>
          </cell>
          <cell r="BA73">
            <v>1</v>
          </cell>
          <cell r="BB73">
            <v>1</v>
          </cell>
          <cell r="BC73">
            <v>1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Q73">
            <v>1</v>
          </cell>
          <cell r="BR73">
            <v>1</v>
          </cell>
          <cell r="BT73">
            <v>1</v>
          </cell>
          <cell r="BU73">
            <v>1</v>
          </cell>
          <cell r="BV73">
            <v>1</v>
          </cell>
          <cell r="BW73">
            <v>1</v>
          </cell>
          <cell r="BX73">
            <v>1</v>
          </cell>
          <cell r="BY73">
            <v>1</v>
          </cell>
          <cell r="CB73">
            <v>1</v>
          </cell>
          <cell r="CC73">
            <v>1</v>
          </cell>
          <cell r="CF73">
            <v>1</v>
          </cell>
          <cell r="CG73">
            <v>1</v>
          </cell>
          <cell r="CH73">
            <v>1</v>
          </cell>
          <cell r="CI73">
            <v>1</v>
          </cell>
          <cell r="CK73">
            <v>3</v>
          </cell>
          <cell r="CL73">
            <v>3</v>
          </cell>
          <cell r="CM73">
            <v>1.7707641196013288</v>
          </cell>
          <cell r="CN73">
            <v>0</v>
          </cell>
          <cell r="CO73">
            <v>0</v>
          </cell>
          <cell r="CP73">
            <v>2970</v>
          </cell>
          <cell r="CQ73">
            <v>135</v>
          </cell>
          <cell r="CR73">
            <v>0</v>
          </cell>
          <cell r="CS73">
            <v>0</v>
          </cell>
          <cell r="CT73">
            <v>600</v>
          </cell>
          <cell r="CU73">
            <v>27.272727272727273</v>
          </cell>
          <cell r="CV73">
            <v>2340</v>
          </cell>
          <cell r="CW73">
            <v>106.36363636363636</v>
          </cell>
          <cell r="CX73">
            <v>5910</v>
          </cell>
          <cell r="CY73">
            <v>268.63636363636363</v>
          </cell>
          <cell r="CZ73">
            <v>2085</v>
          </cell>
          <cell r="DA73">
            <v>94.772727272727266</v>
          </cell>
          <cell r="DB73">
            <v>7995</v>
          </cell>
          <cell r="DC73">
            <v>363.40909090909088</v>
          </cell>
        </row>
        <row r="74">
          <cell r="A74">
            <v>5</v>
          </cell>
          <cell r="B74" t="str">
            <v>CO</v>
          </cell>
          <cell r="C74" t="str">
            <v>B4</v>
          </cell>
          <cell r="D74" t="str">
            <v>51514-0B010</v>
          </cell>
          <cell r="E74" t="str">
            <v>SUPPORT, UPR CONTROL ARM, LH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Q74">
            <v>1</v>
          </cell>
          <cell r="BR74">
            <v>1</v>
          </cell>
          <cell r="BT74">
            <v>1</v>
          </cell>
          <cell r="BU74">
            <v>1</v>
          </cell>
          <cell r="BV74">
            <v>1</v>
          </cell>
          <cell r="BW74">
            <v>1</v>
          </cell>
          <cell r="BX74">
            <v>1</v>
          </cell>
          <cell r="BY74">
            <v>1</v>
          </cell>
          <cell r="CB74">
            <v>1</v>
          </cell>
          <cell r="CC74">
            <v>1</v>
          </cell>
          <cell r="CF74">
            <v>1</v>
          </cell>
          <cell r="CG74">
            <v>1</v>
          </cell>
          <cell r="CH74">
            <v>1</v>
          </cell>
          <cell r="CI74">
            <v>1</v>
          </cell>
          <cell r="CK74">
            <v>3</v>
          </cell>
          <cell r="CL74">
            <v>3</v>
          </cell>
          <cell r="CM74">
            <v>1.7707641196013288</v>
          </cell>
          <cell r="CN74">
            <v>0</v>
          </cell>
          <cell r="CO74">
            <v>0</v>
          </cell>
          <cell r="CP74">
            <v>2970</v>
          </cell>
          <cell r="CQ74">
            <v>135</v>
          </cell>
          <cell r="CR74">
            <v>0</v>
          </cell>
          <cell r="CS74">
            <v>0</v>
          </cell>
          <cell r="CT74">
            <v>600</v>
          </cell>
          <cell r="CU74">
            <v>27.272727272727273</v>
          </cell>
          <cell r="CV74">
            <v>2340</v>
          </cell>
          <cell r="CW74">
            <v>106.36363636363636</v>
          </cell>
          <cell r="CX74">
            <v>5910</v>
          </cell>
          <cell r="CY74">
            <v>268.63636363636363</v>
          </cell>
          <cell r="CZ74">
            <v>2085</v>
          </cell>
          <cell r="DA74">
            <v>94.772727272727266</v>
          </cell>
          <cell r="DB74">
            <v>7995</v>
          </cell>
          <cell r="DC74">
            <v>363.40909090909088</v>
          </cell>
        </row>
        <row r="75">
          <cell r="A75">
            <v>6</v>
          </cell>
          <cell r="B75" t="str">
            <v>CO</v>
          </cell>
          <cell r="C75" t="str">
            <v>B</v>
          </cell>
          <cell r="D75" t="str">
            <v>53112-0B020</v>
          </cell>
          <cell r="E75" t="str">
            <v>GRILLE, RADIATOR LWR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CK75">
            <v>3</v>
          </cell>
          <cell r="CM75">
            <v>0.66777408637873759</v>
          </cell>
          <cell r="CN75">
            <v>930</v>
          </cell>
          <cell r="CO75">
            <v>42.272727272727273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930</v>
          </cell>
          <cell r="CY75">
            <v>42.272727272727273</v>
          </cell>
          <cell r="CZ75">
            <v>2085</v>
          </cell>
          <cell r="DA75">
            <v>94.772727272727266</v>
          </cell>
          <cell r="DB75">
            <v>3015</v>
          </cell>
          <cell r="DC75">
            <v>137.04545454545453</v>
          </cell>
        </row>
        <row r="76">
          <cell r="A76">
            <v>7</v>
          </cell>
          <cell r="B76" t="str">
            <v>CO</v>
          </cell>
          <cell r="C76" t="str">
            <v>B</v>
          </cell>
          <cell r="D76" t="str">
            <v>53715-0B031(100)</v>
          </cell>
          <cell r="E76" t="str">
            <v>APRON, FENDER SIDE, RH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T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O76">
            <v>0</v>
          </cell>
          <cell r="BP76">
            <v>0</v>
          </cell>
          <cell r="CK76">
            <v>2</v>
          </cell>
          <cell r="CL76">
            <v>2</v>
          </cell>
          <cell r="CM76">
            <v>0.78626799557032112</v>
          </cell>
          <cell r="CN76">
            <v>180</v>
          </cell>
          <cell r="CO76">
            <v>8.1818181818181817</v>
          </cell>
          <cell r="CP76">
            <v>1980</v>
          </cell>
          <cell r="CQ76">
            <v>90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2160</v>
          </cell>
          <cell r="CY76">
            <v>98.181818181818187</v>
          </cell>
          <cell r="CZ76">
            <v>1390</v>
          </cell>
          <cell r="DA76">
            <v>63.18181818181818</v>
          </cell>
          <cell r="DB76">
            <v>3550</v>
          </cell>
          <cell r="DC76">
            <v>161.36363636363637</v>
          </cell>
        </row>
        <row r="77">
          <cell r="A77">
            <v>8</v>
          </cell>
          <cell r="B77" t="str">
            <v>CO</v>
          </cell>
          <cell r="C77" t="str">
            <v>B</v>
          </cell>
          <cell r="D77" t="str">
            <v>53715-0B041</v>
          </cell>
          <cell r="E77" t="str">
            <v>APRON, FENDER SIDE, RH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U77">
            <v>1</v>
          </cell>
          <cell r="AV77">
            <v>1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O77">
            <v>1</v>
          </cell>
          <cell r="BP77">
            <v>1</v>
          </cell>
          <cell r="CK77">
            <v>2</v>
          </cell>
          <cell r="CL77">
            <v>2</v>
          </cell>
          <cell r="CM77">
            <v>0.32418921056794814</v>
          </cell>
          <cell r="CN77">
            <v>720</v>
          </cell>
          <cell r="CO77">
            <v>32.727272727272727</v>
          </cell>
          <cell r="CP77">
            <v>0</v>
          </cell>
          <cell r="CQ77">
            <v>0</v>
          </cell>
          <cell r="CR77">
            <v>743.71428571428578</v>
          </cell>
          <cell r="CS77">
            <v>33.805194805194809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1463.7142857142858</v>
          </cell>
          <cell r="CY77">
            <v>66.532467532467535</v>
          </cell>
          <cell r="CZ77">
            <v>0</v>
          </cell>
          <cell r="DA77">
            <v>0</v>
          </cell>
          <cell r="DB77">
            <v>1463.7142857142858</v>
          </cell>
          <cell r="DC77">
            <v>66.532467532467535</v>
          </cell>
        </row>
        <row r="78">
          <cell r="A78">
            <v>9</v>
          </cell>
          <cell r="B78" t="str">
            <v>CO</v>
          </cell>
          <cell r="C78" t="str">
            <v>B</v>
          </cell>
          <cell r="D78" t="str">
            <v>53715-0B110</v>
          </cell>
          <cell r="E78" t="str">
            <v>APRON, FENDER SIDE, RH</v>
          </cell>
          <cell r="AR78">
            <v>1</v>
          </cell>
          <cell r="AS78">
            <v>1</v>
          </cell>
          <cell r="AW78">
            <v>1</v>
          </cell>
          <cell r="AX78">
            <v>1</v>
          </cell>
          <cell r="CK78">
            <v>2</v>
          </cell>
          <cell r="CL78">
            <v>2</v>
          </cell>
          <cell r="CM78">
            <v>8.8593576965669985E-3</v>
          </cell>
          <cell r="CN78">
            <v>40</v>
          </cell>
          <cell r="CO78">
            <v>1.8181818181818181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40</v>
          </cell>
          <cell r="CY78">
            <v>1.8181818181818181</v>
          </cell>
          <cell r="CZ78">
            <v>0</v>
          </cell>
          <cell r="DA78">
            <v>0</v>
          </cell>
          <cell r="DB78">
            <v>40</v>
          </cell>
          <cell r="DC78">
            <v>1.8181818181818181</v>
          </cell>
        </row>
        <row r="79">
          <cell r="A79">
            <v>10</v>
          </cell>
          <cell r="B79" t="str">
            <v>CO</v>
          </cell>
          <cell r="C79" t="str">
            <v>B</v>
          </cell>
          <cell r="D79" t="str">
            <v>53716-0B031(110)</v>
          </cell>
          <cell r="E79" t="str">
            <v xml:space="preserve">APRON, FENDER SIDE, LH 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Z79">
            <v>1</v>
          </cell>
          <cell r="BA79">
            <v>1</v>
          </cell>
          <cell r="BB79">
            <v>1</v>
          </cell>
          <cell r="BC79">
            <v>1</v>
          </cell>
          <cell r="CK79">
            <v>2</v>
          </cell>
          <cell r="CM79">
            <v>0.7464008859357697</v>
          </cell>
          <cell r="CN79">
            <v>0</v>
          </cell>
          <cell r="CO79">
            <v>0</v>
          </cell>
          <cell r="CP79">
            <v>1980</v>
          </cell>
          <cell r="CQ79">
            <v>90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1980</v>
          </cell>
          <cell r="CY79">
            <v>90</v>
          </cell>
          <cell r="CZ79">
            <v>1390</v>
          </cell>
          <cell r="DA79">
            <v>63.18181818181818</v>
          </cell>
          <cell r="DB79">
            <v>3370</v>
          </cell>
          <cell r="DC79">
            <v>153.18181818181819</v>
          </cell>
        </row>
        <row r="80">
          <cell r="A80">
            <v>11</v>
          </cell>
          <cell r="B80" t="str">
            <v>CO</v>
          </cell>
          <cell r="C80" t="str">
            <v>B</v>
          </cell>
          <cell r="D80" t="str">
            <v>53716-0B041</v>
          </cell>
          <cell r="E80" t="str">
            <v xml:space="preserve">APRON, FENDER SIDE, LH 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T80">
            <v>1</v>
          </cell>
          <cell r="AU80">
            <v>1</v>
          </cell>
          <cell r="AV80">
            <v>1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O80">
            <v>1</v>
          </cell>
          <cell r="BP80">
            <v>1</v>
          </cell>
          <cell r="CK80">
            <v>2</v>
          </cell>
          <cell r="CM80">
            <v>0.36405632020249962</v>
          </cell>
          <cell r="CN80">
            <v>900</v>
          </cell>
          <cell r="CO80">
            <v>40.909090909090907</v>
          </cell>
          <cell r="CP80">
            <v>0</v>
          </cell>
          <cell r="CQ80">
            <v>0</v>
          </cell>
          <cell r="CR80">
            <v>743.71428571428578</v>
          </cell>
          <cell r="CS80">
            <v>33.805194805194809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1643.7142857142858</v>
          </cell>
          <cell r="CY80">
            <v>74.714285714285722</v>
          </cell>
          <cell r="CZ80">
            <v>0</v>
          </cell>
          <cell r="DA80">
            <v>0</v>
          </cell>
          <cell r="DB80">
            <v>1643.7142857142858</v>
          </cell>
          <cell r="DC80">
            <v>74.714285714285722</v>
          </cell>
        </row>
        <row r="81">
          <cell r="A81">
            <v>12</v>
          </cell>
          <cell r="B81" t="str">
            <v>CO</v>
          </cell>
          <cell r="C81" t="str">
            <v>B</v>
          </cell>
          <cell r="D81" t="str">
            <v>53716-0B120</v>
          </cell>
          <cell r="E81" t="str">
            <v>APRON, FENDER SIDE, RH</v>
          </cell>
          <cell r="AR81">
            <v>1</v>
          </cell>
          <cell r="AS81">
            <v>1</v>
          </cell>
          <cell r="AW81">
            <v>1</v>
          </cell>
          <cell r="AX81">
            <v>1</v>
          </cell>
          <cell r="CK81">
            <v>1</v>
          </cell>
          <cell r="CM81">
            <v>4.4296788482834993E-3</v>
          </cell>
          <cell r="CN81">
            <v>20</v>
          </cell>
          <cell r="CO81">
            <v>0.90909090909090906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20</v>
          </cell>
          <cell r="CY81">
            <v>0.90909090909090906</v>
          </cell>
          <cell r="CZ81">
            <v>0</v>
          </cell>
          <cell r="DA81">
            <v>0</v>
          </cell>
          <cell r="DB81">
            <v>20</v>
          </cell>
          <cell r="DC81">
            <v>0.90909090909090906</v>
          </cell>
        </row>
        <row r="82">
          <cell r="A82">
            <v>13</v>
          </cell>
          <cell r="B82" t="str">
            <v>CO</v>
          </cell>
          <cell r="C82" t="str">
            <v>B-B4</v>
          </cell>
          <cell r="D82" t="str">
            <v>53717-0B010</v>
          </cell>
          <cell r="E82" t="str">
            <v>APRON, FR FENDER, NO.2 RH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CK82">
            <v>1</v>
          </cell>
          <cell r="CL82">
            <v>1</v>
          </cell>
          <cell r="CM82">
            <v>0.37320044296788485</v>
          </cell>
          <cell r="CN82">
            <v>0</v>
          </cell>
          <cell r="CO82">
            <v>0</v>
          </cell>
          <cell r="CP82">
            <v>990</v>
          </cell>
          <cell r="CQ82">
            <v>45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990</v>
          </cell>
          <cell r="CY82">
            <v>45</v>
          </cell>
          <cell r="CZ82">
            <v>695</v>
          </cell>
          <cell r="DA82">
            <v>31.59090909090909</v>
          </cell>
          <cell r="DB82">
            <v>1685</v>
          </cell>
          <cell r="DC82">
            <v>76.590909090909093</v>
          </cell>
        </row>
        <row r="83">
          <cell r="A83">
            <v>14</v>
          </cell>
          <cell r="B83" t="str">
            <v>CO</v>
          </cell>
          <cell r="C83" t="str">
            <v>B-B4</v>
          </cell>
          <cell r="D83" t="str">
            <v>53718-0B010.20</v>
          </cell>
          <cell r="E83" t="str">
            <v>APRON, FR FENDER, NO.2 LH (7K)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Z83">
            <v>1</v>
          </cell>
          <cell r="BA83">
            <v>1</v>
          </cell>
          <cell r="BB83">
            <v>1</v>
          </cell>
          <cell r="BC83">
            <v>1</v>
          </cell>
          <cell r="CK83">
            <v>1</v>
          </cell>
          <cell r="CM83">
            <v>0.37320044296788485</v>
          </cell>
          <cell r="CN83">
            <v>0</v>
          </cell>
          <cell r="CO83">
            <v>0</v>
          </cell>
          <cell r="CP83">
            <v>990</v>
          </cell>
          <cell r="CQ83">
            <v>45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990</v>
          </cell>
          <cell r="CY83">
            <v>45</v>
          </cell>
          <cell r="CZ83">
            <v>695</v>
          </cell>
          <cell r="DA83">
            <v>31.59090909090909</v>
          </cell>
          <cell r="DB83">
            <v>1685</v>
          </cell>
          <cell r="DC83">
            <v>76.590909090909093</v>
          </cell>
        </row>
        <row r="84">
          <cell r="A84">
            <v>15</v>
          </cell>
          <cell r="B84" t="str">
            <v>CO</v>
          </cell>
          <cell r="C84" t="str">
            <v>B-B4</v>
          </cell>
          <cell r="D84" t="str">
            <v>53931-0B040</v>
          </cell>
          <cell r="E84" t="str">
            <v>PNL FR END RH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CK84">
            <v>1.5</v>
          </cell>
          <cell r="CM84">
            <v>0.35714285714285715</v>
          </cell>
          <cell r="CN84">
            <v>570</v>
          </cell>
          <cell r="CO84">
            <v>25.90909090909091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570</v>
          </cell>
          <cell r="CY84">
            <v>25.90909090909091</v>
          </cell>
          <cell r="CZ84">
            <v>1042.5</v>
          </cell>
          <cell r="DA84">
            <v>47.386363636363633</v>
          </cell>
          <cell r="DB84">
            <v>1612.5</v>
          </cell>
          <cell r="DC84">
            <v>73.295454545454547</v>
          </cell>
        </row>
        <row r="85">
          <cell r="A85">
            <v>16</v>
          </cell>
          <cell r="B85" t="str">
            <v>CO</v>
          </cell>
          <cell r="C85" t="str">
            <v>B-B4</v>
          </cell>
          <cell r="D85" t="str">
            <v>53932-0B040</v>
          </cell>
          <cell r="E85" t="str">
            <v>PNL FR END LH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CK85">
            <v>1.5</v>
          </cell>
          <cell r="CM85">
            <v>0.35714285714285715</v>
          </cell>
          <cell r="CN85">
            <v>570</v>
          </cell>
          <cell r="CO85">
            <v>25.90909090909091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570</v>
          </cell>
          <cell r="CY85">
            <v>25.90909090909091</v>
          </cell>
          <cell r="CZ85">
            <v>1042.5</v>
          </cell>
          <cell r="DA85">
            <v>47.386363636363633</v>
          </cell>
          <cell r="DB85">
            <v>1612.5</v>
          </cell>
          <cell r="DC85">
            <v>73.295454545454547</v>
          </cell>
        </row>
        <row r="86">
          <cell r="A86">
            <v>17</v>
          </cell>
          <cell r="B86" t="str">
            <v>CO</v>
          </cell>
          <cell r="C86" t="str">
            <v>A</v>
          </cell>
          <cell r="D86" t="str">
            <v>57453-0B010.20</v>
          </cell>
          <cell r="E86" t="str">
            <v>MEMBER, FR FLOOR CROSS,NO.3 (P/U)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Z86">
            <v>1</v>
          </cell>
          <cell r="BA86">
            <v>1</v>
          </cell>
          <cell r="BB86">
            <v>1</v>
          </cell>
          <cell r="BC86">
            <v>1</v>
          </cell>
          <cell r="CK86">
            <v>1</v>
          </cell>
          <cell r="CL86">
            <v>1</v>
          </cell>
          <cell r="CM86">
            <v>0.37320044296788485</v>
          </cell>
          <cell r="CN86">
            <v>0</v>
          </cell>
          <cell r="CO86">
            <v>0</v>
          </cell>
          <cell r="CP86">
            <v>990</v>
          </cell>
          <cell r="CQ86">
            <v>45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990</v>
          </cell>
          <cell r="CY86">
            <v>45</v>
          </cell>
          <cell r="CZ86">
            <v>695</v>
          </cell>
          <cell r="DA86">
            <v>31.59090909090909</v>
          </cell>
          <cell r="DB86">
            <v>1685</v>
          </cell>
          <cell r="DC86">
            <v>76.590909090909093</v>
          </cell>
        </row>
        <row r="87">
          <cell r="A87">
            <v>18</v>
          </cell>
          <cell r="B87" t="str">
            <v>CO</v>
          </cell>
          <cell r="C87" t="str">
            <v>A</v>
          </cell>
          <cell r="D87" t="str">
            <v>57453-0B040</v>
          </cell>
          <cell r="E87" t="str">
            <v>MBR,FR FLOOR CROSS NO.3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1</v>
          </cell>
          <cell r="BE87">
            <v>1</v>
          </cell>
          <cell r="BF87">
            <v>1</v>
          </cell>
          <cell r="BG87">
            <v>1</v>
          </cell>
          <cell r="BH87">
            <v>1</v>
          </cell>
          <cell r="BI87">
            <v>1</v>
          </cell>
          <cell r="BJ87">
            <v>1</v>
          </cell>
          <cell r="BK87">
            <v>1</v>
          </cell>
          <cell r="BL87">
            <v>1</v>
          </cell>
          <cell r="BM87">
            <v>1</v>
          </cell>
          <cell r="BN87">
            <v>1</v>
          </cell>
          <cell r="BQ87">
            <v>1</v>
          </cell>
          <cell r="BR87">
            <v>1</v>
          </cell>
          <cell r="BT87">
            <v>1</v>
          </cell>
          <cell r="BU87">
            <v>1</v>
          </cell>
          <cell r="BV87">
            <v>1</v>
          </cell>
          <cell r="BW87">
            <v>1</v>
          </cell>
          <cell r="BX87">
            <v>1</v>
          </cell>
          <cell r="BY87">
            <v>1</v>
          </cell>
          <cell r="BZ87">
            <v>1</v>
          </cell>
          <cell r="CA87">
            <v>1</v>
          </cell>
          <cell r="CB87">
            <v>1</v>
          </cell>
          <cell r="CC87">
            <v>1</v>
          </cell>
          <cell r="CD87">
            <v>1</v>
          </cell>
          <cell r="CE87">
            <v>1</v>
          </cell>
          <cell r="CF87">
            <v>1</v>
          </cell>
          <cell r="CG87">
            <v>1</v>
          </cell>
          <cell r="CH87">
            <v>1</v>
          </cell>
          <cell r="CI87">
            <v>1</v>
          </cell>
          <cell r="CJ87">
            <v>1</v>
          </cell>
          <cell r="CK87">
            <v>1</v>
          </cell>
          <cell r="CL87">
            <v>1</v>
          </cell>
          <cell r="CM87">
            <v>0.54443917101724404</v>
          </cell>
          <cell r="CN87">
            <v>470</v>
          </cell>
          <cell r="CO87">
            <v>21.363636363636363</v>
          </cell>
          <cell r="CP87">
            <v>0</v>
          </cell>
          <cell r="CQ87">
            <v>0</v>
          </cell>
          <cell r="CR87">
            <v>998.142857142857</v>
          </cell>
          <cell r="CS87">
            <v>45.370129870129865</v>
          </cell>
          <cell r="CT87">
            <v>200</v>
          </cell>
          <cell r="CU87">
            <v>9.0909090909090917</v>
          </cell>
          <cell r="CV87">
            <v>790</v>
          </cell>
          <cell r="CW87">
            <v>35.909090909090907</v>
          </cell>
          <cell r="CX87">
            <v>2458.1428571428569</v>
          </cell>
          <cell r="CY87">
            <v>111.73376623376623</v>
          </cell>
          <cell r="CZ87">
            <v>0</v>
          </cell>
          <cell r="DA87">
            <v>0</v>
          </cell>
          <cell r="DB87">
            <v>2458.1428571428569</v>
          </cell>
          <cell r="DC87">
            <v>111.73376623376623</v>
          </cell>
        </row>
        <row r="88">
          <cell r="A88">
            <v>19</v>
          </cell>
          <cell r="B88" t="str">
            <v>CO</v>
          </cell>
          <cell r="C88" t="str">
            <v>A</v>
          </cell>
          <cell r="D88" t="str">
            <v>57663-YZC10</v>
          </cell>
          <cell r="E88" t="str">
            <v>MBR RR FLOOR CROSS CTR</v>
          </cell>
          <cell r="F88">
            <v>2</v>
          </cell>
          <cell r="H88">
            <v>2</v>
          </cell>
          <cell r="CK88">
            <v>1</v>
          </cell>
          <cell r="CM88">
            <v>0.30786267995570321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1390</v>
          </cell>
          <cell r="DA88">
            <v>63.18181818181818</v>
          </cell>
          <cell r="DB88">
            <v>1390</v>
          </cell>
          <cell r="DC88">
            <v>63.18181818181818</v>
          </cell>
        </row>
        <row r="89">
          <cell r="A89">
            <v>20</v>
          </cell>
          <cell r="B89" t="str">
            <v>CO</v>
          </cell>
          <cell r="C89" t="str">
            <v>B</v>
          </cell>
          <cell r="D89" t="str">
            <v>58388-0B010</v>
          </cell>
          <cell r="E89" t="str">
            <v>PLATE BODY LWR BACK R/F RH</v>
          </cell>
          <cell r="J89">
            <v>1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N89">
            <v>1</v>
          </cell>
          <cell r="AR89">
            <v>1</v>
          </cell>
          <cell r="AS89">
            <v>1</v>
          </cell>
          <cell r="AT89">
            <v>1</v>
          </cell>
          <cell r="AV89">
            <v>1</v>
          </cell>
          <cell r="AZ89">
            <v>1</v>
          </cell>
          <cell r="BA89">
            <v>1</v>
          </cell>
          <cell r="BB89">
            <v>1</v>
          </cell>
          <cell r="BC89">
            <v>1</v>
          </cell>
          <cell r="CK89">
            <v>1.5</v>
          </cell>
          <cell r="CL89">
            <v>1.5</v>
          </cell>
          <cell r="CM89">
            <v>0.38205980066445183</v>
          </cell>
          <cell r="CN89">
            <v>240</v>
          </cell>
          <cell r="CO89">
            <v>10.909090909090908</v>
          </cell>
          <cell r="CP89">
            <v>1485</v>
          </cell>
          <cell r="CQ89">
            <v>67.5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1725</v>
          </cell>
          <cell r="CY89">
            <v>78.409090909090907</v>
          </cell>
          <cell r="CZ89">
            <v>0</v>
          </cell>
          <cell r="DA89">
            <v>0</v>
          </cell>
          <cell r="DB89">
            <v>1725</v>
          </cell>
          <cell r="DC89">
            <v>78.409090909090907</v>
          </cell>
        </row>
        <row r="90">
          <cell r="A90">
            <v>21</v>
          </cell>
          <cell r="B90" t="str">
            <v>CO</v>
          </cell>
          <cell r="C90" t="str">
            <v>B</v>
          </cell>
          <cell r="D90" t="str">
            <v>58388-0B020</v>
          </cell>
          <cell r="E90" t="str">
            <v>PLATE BODY LWR BACK R/F RH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</v>
          </cell>
          <cell r="AQ90">
            <v>1</v>
          </cell>
          <cell r="AR90">
            <v>0</v>
          </cell>
          <cell r="AS90">
            <v>0</v>
          </cell>
          <cell r="AT90">
            <v>0</v>
          </cell>
          <cell r="AU90">
            <v>1</v>
          </cell>
          <cell r="AV90">
            <v>0</v>
          </cell>
          <cell r="AW90">
            <v>1</v>
          </cell>
          <cell r="AX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  <cell r="BJ90">
            <v>1</v>
          </cell>
          <cell r="BK90">
            <v>1</v>
          </cell>
          <cell r="BL90">
            <v>1</v>
          </cell>
          <cell r="BM90">
            <v>1</v>
          </cell>
          <cell r="BN90">
            <v>1</v>
          </cell>
          <cell r="BO90">
            <v>1</v>
          </cell>
          <cell r="BP90">
            <v>1</v>
          </cell>
          <cell r="BT90">
            <v>1</v>
          </cell>
          <cell r="BU90">
            <v>1</v>
          </cell>
          <cell r="BV90">
            <v>1</v>
          </cell>
          <cell r="BW90">
            <v>1</v>
          </cell>
          <cell r="BX90">
            <v>1</v>
          </cell>
          <cell r="BY90">
            <v>1</v>
          </cell>
          <cell r="BZ90">
            <v>1</v>
          </cell>
          <cell r="CA90">
            <v>1</v>
          </cell>
          <cell r="CB90">
            <v>1</v>
          </cell>
          <cell r="CC90">
            <v>1</v>
          </cell>
          <cell r="CD90">
            <v>1</v>
          </cell>
          <cell r="CE90">
            <v>1</v>
          </cell>
          <cell r="CF90">
            <v>1</v>
          </cell>
          <cell r="CG90">
            <v>1</v>
          </cell>
          <cell r="CH90">
            <v>1</v>
          </cell>
          <cell r="CI90">
            <v>1</v>
          </cell>
          <cell r="CJ90">
            <v>1</v>
          </cell>
          <cell r="CK90">
            <v>1.5</v>
          </cell>
          <cell r="CL90">
            <v>1.5</v>
          </cell>
          <cell r="CM90">
            <v>0.82059800664451832</v>
          </cell>
          <cell r="CN90">
            <v>465</v>
          </cell>
          <cell r="CO90">
            <v>21.136363636363637</v>
          </cell>
          <cell r="CP90">
            <v>0</v>
          </cell>
          <cell r="CQ90">
            <v>0</v>
          </cell>
          <cell r="CR90">
            <v>2055</v>
          </cell>
          <cell r="CS90">
            <v>93.409090909090907</v>
          </cell>
          <cell r="CT90">
            <v>0</v>
          </cell>
          <cell r="CU90">
            <v>0</v>
          </cell>
          <cell r="CV90">
            <v>1185</v>
          </cell>
          <cell r="CW90">
            <v>53.863636363636367</v>
          </cell>
          <cell r="CX90">
            <v>3705</v>
          </cell>
          <cell r="CY90">
            <v>168.40909090909091</v>
          </cell>
          <cell r="CZ90">
            <v>0</v>
          </cell>
          <cell r="DA90">
            <v>0</v>
          </cell>
          <cell r="DB90">
            <v>3705</v>
          </cell>
          <cell r="DC90">
            <v>168.40909090909091</v>
          </cell>
        </row>
        <row r="91">
          <cell r="A91">
            <v>22</v>
          </cell>
          <cell r="B91" t="str">
            <v>CO</v>
          </cell>
          <cell r="C91" t="str">
            <v>B</v>
          </cell>
          <cell r="D91" t="str">
            <v>58389-0B010</v>
          </cell>
          <cell r="E91" t="str">
            <v>PLATE BODY LWR BACK R/F LH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N91">
            <v>1</v>
          </cell>
          <cell r="AR91">
            <v>1</v>
          </cell>
          <cell r="AS91">
            <v>1</v>
          </cell>
          <cell r="AT91">
            <v>1</v>
          </cell>
          <cell r="AV91">
            <v>1</v>
          </cell>
          <cell r="AZ91">
            <v>1</v>
          </cell>
          <cell r="BA91">
            <v>1</v>
          </cell>
          <cell r="BB91">
            <v>1</v>
          </cell>
          <cell r="BC91">
            <v>1</v>
          </cell>
          <cell r="CK91">
            <v>1.5</v>
          </cell>
          <cell r="CL91">
            <v>1.5</v>
          </cell>
          <cell r="CM91">
            <v>0.38205980066445183</v>
          </cell>
          <cell r="CN91">
            <v>240</v>
          </cell>
          <cell r="CO91">
            <v>10.909090909090908</v>
          </cell>
          <cell r="CP91">
            <v>1485</v>
          </cell>
          <cell r="CQ91">
            <v>67.5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1725</v>
          </cell>
          <cell r="CY91">
            <v>78.409090909090907</v>
          </cell>
          <cell r="CZ91">
            <v>0</v>
          </cell>
          <cell r="DA91">
            <v>0</v>
          </cell>
          <cell r="DB91">
            <v>1725</v>
          </cell>
          <cell r="DC91">
            <v>78.409090909090907</v>
          </cell>
        </row>
        <row r="92">
          <cell r="A92">
            <v>23</v>
          </cell>
          <cell r="B92" t="str">
            <v>CO</v>
          </cell>
          <cell r="C92" t="str">
            <v>B</v>
          </cell>
          <cell r="D92" t="str">
            <v>58389-0B020</v>
          </cell>
          <cell r="E92" t="str">
            <v>PLATE BODY LWR BACK R/F LH</v>
          </cell>
          <cell r="AK92">
            <v>1</v>
          </cell>
          <cell r="AL92">
            <v>1</v>
          </cell>
          <cell r="AM92">
            <v>1</v>
          </cell>
          <cell r="AN92">
            <v>0</v>
          </cell>
          <cell r="AO92">
            <v>1</v>
          </cell>
          <cell r="AP92">
            <v>1</v>
          </cell>
          <cell r="AQ92">
            <v>1</v>
          </cell>
          <cell r="AR92">
            <v>0</v>
          </cell>
          <cell r="AS92">
            <v>0</v>
          </cell>
          <cell r="AT92">
            <v>0</v>
          </cell>
          <cell r="AU92">
            <v>1</v>
          </cell>
          <cell r="AV92">
            <v>0</v>
          </cell>
          <cell r="AW92">
            <v>1</v>
          </cell>
          <cell r="AX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1.5</v>
          </cell>
          <cell r="CL92">
            <v>1.5</v>
          </cell>
          <cell r="CM92">
            <v>0.82059800664451832</v>
          </cell>
          <cell r="CN92">
            <v>465</v>
          </cell>
          <cell r="CO92">
            <v>21.136363636363637</v>
          </cell>
          <cell r="CP92">
            <v>0</v>
          </cell>
          <cell r="CQ92">
            <v>0</v>
          </cell>
          <cell r="CR92">
            <v>2055</v>
          </cell>
          <cell r="CS92">
            <v>93.409090909090907</v>
          </cell>
          <cell r="CT92">
            <v>0</v>
          </cell>
          <cell r="CU92">
            <v>0</v>
          </cell>
          <cell r="CV92">
            <v>1185</v>
          </cell>
          <cell r="CW92">
            <v>53.863636363636367</v>
          </cell>
          <cell r="CX92">
            <v>3705</v>
          </cell>
          <cell r="CY92">
            <v>168.40909090909091</v>
          </cell>
          <cell r="CZ92">
            <v>0</v>
          </cell>
          <cell r="DA92">
            <v>0</v>
          </cell>
          <cell r="DB92">
            <v>3705</v>
          </cell>
          <cell r="DC92">
            <v>168.40909090909091</v>
          </cell>
        </row>
        <row r="93">
          <cell r="A93">
            <v>24</v>
          </cell>
          <cell r="B93" t="str">
            <v>CO</v>
          </cell>
          <cell r="C93" t="str">
            <v>B-B4</v>
          </cell>
          <cell r="D93" t="str">
            <v>61713-0B010</v>
          </cell>
          <cell r="E93" t="str">
            <v>EXT ROOF SIDE OTR LH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AB93">
            <v>1</v>
          </cell>
          <cell r="AC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Z93">
            <v>1</v>
          </cell>
          <cell r="BA93">
            <v>1</v>
          </cell>
          <cell r="BB93">
            <v>1</v>
          </cell>
          <cell r="BC93">
            <v>1</v>
          </cell>
          <cell r="CK93">
            <v>1.5</v>
          </cell>
          <cell r="CL93">
            <v>3</v>
          </cell>
          <cell r="CM93">
            <v>0.32890365448504982</v>
          </cell>
          <cell r="CN93">
            <v>0</v>
          </cell>
          <cell r="CO93">
            <v>0</v>
          </cell>
          <cell r="CP93">
            <v>1485</v>
          </cell>
          <cell r="CQ93">
            <v>67.5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1485</v>
          </cell>
          <cell r="CY93">
            <v>67.5</v>
          </cell>
          <cell r="CZ93">
            <v>0</v>
          </cell>
          <cell r="DA93">
            <v>0</v>
          </cell>
          <cell r="DB93">
            <v>1485</v>
          </cell>
          <cell r="DC93">
            <v>67.5</v>
          </cell>
        </row>
        <row r="94">
          <cell r="A94">
            <v>25</v>
          </cell>
          <cell r="B94" t="str">
            <v>CO</v>
          </cell>
          <cell r="C94" t="str">
            <v>B-B4</v>
          </cell>
          <cell r="D94" t="str">
            <v>61714-0B010</v>
          </cell>
          <cell r="E94" t="str">
            <v>EXT ROOF SIDE OTR RH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AB94">
            <v>1</v>
          </cell>
          <cell r="AC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CK94">
            <v>1.5</v>
          </cell>
          <cell r="CM94">
            <v>0.32890365448504982</v>
          </cell>
          <cell r="CN94">
            <v>0</v>
          </cell>
          <cell r="CO94">
            <v>0</v>
          </cell>
          <cell r="CP94">
            <v>1485</v>
          </cell>
          <cell r="CQ94">
            <v>67.5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1485</v>
          </cell>
          <cell r="CY94">
            <v>67.5</v>
          </cell>
          <cell r="CZ94">
            <v>0</v>
          </cell>
          <cell r="DA94">
            <v>0</v>
          </cell>
          <cell r="DB94">
            <v>1485</v>
          </cell>
          <cell r="DC94">
            <v>67.5</v>
          </cell>
        </row>
        <row r="95">
          <cell r="A95">
            <v>26</v>
          </cell>
          <cell r="B95" t="str">
            <v>CO</v>
          </cell>
          <cell r="C95" t="str">
            <v>B</v>
          </cell>
          <cell r="D95" t="str">
            <v>63134-0B010</v>
          </cell>
          <cell r="E95" t="str">
            <v>FRAME, BACK DOOR OPENING, INNER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1</v>
          </cell>
          <cell r="AZ95">
            <v>1</v>
          </cell>
          <cell r="BA95">
            <v>1</v>
          </cell>
          <cell r="BB95">
            <v>1</v>
          </cell>
          <cell r="BC95">
            <v>1</v>
          </cell>
          <cell r="CK95">
            <v>2</v>
          </cell>
          <cell r="CM95">
            <v>0.43853820598006643</v>
          </cell>
          <cell r="CN95">
            <v>0</v>
          </cell>
          <cell r="CO95">
            <v>0</v>
          </cell>
          <cell r="CP95">
            <v>1980</v>
          </cell>
          <cell r="CQ95">
            <v>90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1980</v>
          </cell>
          <cell r="CY95">
            <v>90</v>
          </cell>
          <cell r="CZ95">
            <v>0</v>
          </cell>
          <cell r="DA95">
            <v>0</v>
          </cell>
          <cell r="DB95">
            <v>1980</v>
          </cell>
          <cell r="DC95">
            <v>90</v>
          </cell>
        </row>
        <row r="96">
          <cell r="A96">
            <v>27</v>
          </cell>
          <cell r="B96" t="str">
            <v>CO</v>
          </cell>
          <cell r="C96" t="str">
            <v>B</v>
          </cell>
          <cell r="D96" t="str">
            <v>64151-0B030</v>
          </cell>
          <cell r="E96" t="str">
            <v>FRAME BACK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CK96">
            <v>2</v>
          </cell>
          <cell r="CL96">
            <v>2</v>
          </cell>
          <cell r="CM96">
            <v>0.30786267995570321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1390</v>
          </cell>
          <cell r="DA96">
            <v>63.18181818181818</v>
          </cell>
          <cell r="DB96">
            <v>1390</v>
          </cell>
          <cell r="DC96">
            <v>63.18181818181818</v>
          </cell>
        </row>
        <row r="97">
          <cell r="A97">
            <v>28</v>
          </cell>
          <cell r="B97" t="str">
            <v>CO</v>
          </cell>
          <cell r="C97" t="str">
            <v>B</v>
          </cell>
          <cell r="D97" t="str">
            <v>64151-0B040</v>
          </cell>
          <cell r="E97" t="str">
            <v>FRAME BACK</v>
          </cell>
          <cell r="BE97">
            <v>1</v>
          </cell>
          <cell r="CK97">
            <v>2</v>
          </cell>
          <cell r="CL97">
            <v>2</v>
          </cell>
          <cell r="CM97">
            <v>8.7400801315658749E-2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394.61461794019925</v>
          </cell>
          <cell r="CS97">
            <v>17.937028088190875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394.61461794019925</v>
          </cell>
          <cell r="CY97">
            <v>17.937028088190875</v>
          </cell>
          <cell r="CZ97">
            <v>0</v>
          </cell>
          <cell r="DA97">
            <v>0</v>
          </cell>
          <cell r="DB97">
            <v>394.61461794019925</v>
          </cell>
          <cell r="DC97">
            <v>17.937028088190875</v>
          </cell>
        </row>
        <row r="98">
          <cell r="A98">
            <v>29</v>
          </cell>
          <cell r="B98" t="str">
            <v>CO</v>
          </cell>
          <cell r="C98" t="str">
            <v>B</v>
          </cell>
          <cell r="D98" t="str">
            <v>65117-YZC01</v>
          </cell>
          <cell r="E98" t="str">
            <v>SILL MAIN</v>
          </cell>
          <cell r="F98">
            <v>1</v>
          </cell>
          <cell r="H98">
            <v>1</v>
          </cell>
          <cell r="CK98">
            <v>1</v>
          </cell>
          <cell r="CM98">
            <v>0.15393133997785161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695</v>
          </cell>
          <cell r="DA98">
            <v>31.59090909090909</v>
          </cell>
          <cell r="DB98">
            <v>695</v>
          </cell>
          <cell r="DC98">
            <v>31.59090909090909</v>
          </cell>
        </row>
        <row r="99">
          <cell r="A99">
            <v>30</v>
          </cell>
          <cell r="B99" t="str">
            <v>CO</v>
          </cell>
          <cell r="C99" t="str">
            <v>B</v>
          </cell>
          <cell r="D99" t="str">
            <v>65118-YZC01</v>
          </cell>
          <cell r="E99" t="str">
            <v>SILL MAIN</v>
          </cell>
          <cell r="F99">
            <v>1</v>
          </cell>
          <cell r="H99">
            <v>1</v>
          </cell>
          <cell r="CK99">
            <v>1</v>
          </cell>
          <cell r="CM99">
            <v>0.15393133997785161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695</v>
          </cell>
          <cell r="DA99">
            <v>31.59090909090909</v>
          </cell>
          <cell r="DB99">
            <v>695</v>
          </cell>
          <cell r="DC99">
            <v>31.59090909090909</v>
          </cell>
        </row>
        <row r="100">
          <cell r="A100">
            <v>31</v>
          </cell>
          <cell r="B100" t="str">
            <v>CO</v>
          </cell>
          <cell r="C100" t="str">
            <v>C-B</v>
          </cell>
          <cell r="D100" t="str">
            <v>65631-YZC10</v>
          </cell>
          <cell r="E100" t="str">
            <v>PNL, WHEEL HOUSE RH</v>
          </cell>
          <cell r="F100">
            <v>2</v>
          </cell>
          <cell r="H100">
            <v>2</v>
          </cell>
          <cell r="CK100">
            <v>2</v>
          </cell>
          <cell r="CL100">
            <v>2</v>
          </cell>
          <cell r="CM100">
            <v>0.61572535991140642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2780</v>
          </cell>
          <cell r="DA100">
            <v>126.36363636363636</v>
          </cell>
          <cell r="DB100">
            <v>2780</v>
          </cell>
          <cell r="DC100">
            <v>126.36363636363636</v>
          </cell>
        </row>
        <row r="101">
          <cell r="A101">
            <v>32</v>
          </cell>
          <cell r="B101" t="str">
            <v>CO</v>
          </cell>
          <cell r="C101" t="str">
            <v>B</v>
          </cell>
          <cell r="D101" t="str">
            <v>67317-0B010</v>
          </cell>
          <cell r="E101" t="str">
            <v>R/F BACK DOOR UPR CORNER RH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CK101">
            <v>1.5</v>
          </cell>
          <cell r="CM101">
            <v>0.32890365448504982</v>
          </cell>
          <cell r="CN101">
            <v>0</v>
          </cell>
          <cell r="CO101">
            <v>0</v>
          </cell>
          <cell r="CP101">
            <v>1485</v>
          </cell>
          <cell r="CQ101">
            <v>67.5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1485</v>
          </cell>
          <cell r="CY101">
            <v>67.5</v>
          </cell>
          <cell r="CZ101">
            <v>0</v>
          </cell>
          <cell r="DA101">
            <v>0</v>
          </cell>
          <cell r="DB101">
            <v>1485</v>
          </cell>
          <cell r="DC101">
            <v>67.5</v>
          </cell>
        </row>
        <row r="102">
          <cell r="A102">
            <v>33</v>
          </cell>
          <cell r="B102" t="str">
            <v>CO</v>
          </cell>
          <cell r="C102" t="str">
            <v>B</v>
          </cell>
          <cell r="D102" t="str">
            <v>67318-0B010</v>
          </cell>
          <cell r="E102" t="str">
            <v>R/F BACK DOOR UPR CORNER LH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CK102">
            <v>1.5</v>
          </cell>
          <cell r="CM102">
            <v>0.32890365448504982</v>
          </cell>
          <cell r="CN102">
            <v>0</v>
          </cell>
          <cell r="CO102">
            <v>0</v>
          </cell>
          <cell r="CP102">
            <v>1485</v>
          </cell>
          <cell r="CQ102">
            <v>67.5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1485</v>
          </cell>
          <cell r="CY102">
            <v>67.5</v>
          </cell>
          <cell r="CZ102">
            <v>0</v>
          </cell>
          <cell r="DA102">
            <v>0</v>
          </cell>
          <cell r="DB102">
            <v>1485</v>
          </cell>
          <cell r="DC102">
            <v>67.5</v>
          </cell>
        </row>
        <row r="103">
          <cell r="A103">
            <v>34</v>
          </cell>
          <cell r="B103" t="str">
            <v>CO</v>
          </cell>
          <cell r="C103" t="str">
            <v>B</v>
          </cell>
          <cell r="D103" t="str">
            <v>68659-0B010</v>
          </cell>
          <cell r="E103" t="str">
            <v>RETAINER BACK DOOR PNL RH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Z103">
            <v>1</v>
          </cell>
          <cell r="BA103">
            <v>1</v>
          </cell>
          <cell r="BB103">
            <v>1</v>
          </cell>
          <cell r="BC103">
            <v>1</v>
          </cell>
          <cell r="BF103">
            <v>1</v>
          </cell>
          <cell r="BG103">
            <v>1</v>
          </cell>
          <cell r="BH103">
            <v>1</v>
          </cell>
          <cell r="BI103">
            <v>1</v>
          </cell>
          <cell r="BJ103">
            <v>1</v>
          </cell>
          <cell r="BK103">
            <v>1</v>
          </cell>
          <cell r="BL103">
            <v>1</v>
          </cell>
          <cell r="BM103">
            <v>1</v>
          </cell>
          <cell r="BN103">
            <v>1</v>
          </cell>
          <cell r="BO103">
            <v>1</v>
          </cell>
          <cell r="BP103">
            <v>1</v>
          </cell>
          <cell r="BT103">
            <v>1</v>
          </cell>
          <cell r="BU103">
            <v>1</v>
          </cell>
          <cell r="BV103">
            <v>1</v>
          </cell>
          <cell r="BW103">
            <v>1</v>
          </cell>
          <cell r="BX103">
            <v>1</v>
          </cell>
          <cell r="BY103">
            <v>1</v>
          </cell>
          <cell r="BZ103">
            <v>1</v>
          </cell>
          <cell r="CA103">
            <v>1</v>
          </cell>
          <cell r="CB103">
            <v>1</v>
          </cell>
          <cell r="CC103">
            <v>1</v>
          </cell>
          <cell r="CD103">
            <v>1</v>
          </cell>
          <cell r="CE103">
            <v>1</v>
          </cell>
          <cell r="CF103">
            <v>1</v>
          </cell>
          <cell r="CG103">
            <v>1</v>
          </cell>
          <cell r="CH103">
            <v>1</v>
          </cell>
          <cell r="CI103">
            <v>1</v>
          </cell>
          <cell r="CJ103">
            <v>1</v>
          </cell>
          <cell r="CK103">
            <v>1.5</v>
          </cell>
          <cell r="CL103">
            <v>1.5</v>
          </cell>
          <cell r="CM103">
            <v>0.98096102692023257</v>
          </cell>
          <cell r="CN103">
            <v>0</v>
          </cell>
          <cell r="CO103">
            <v>0</v>
          </cell>
          <cell r="CP103">
            <v>1485</v>
          </cell>
          <cell r="CQ103">
            <v>67.5</v>
          </cell>
          <cell r="CR103">
            <v>1759.0390365448504</v>
          </cell>
          <cell r="CS103">
            <v>79.95631984294775</v>
          </cell>
          <cell r="CT103">
            <v>0</v>
          </cell>
          <cell r="CU103">
            <v>0</v>
          </cell>
          <cell r="CV103">
            <v>1185</v>
          </cell>
          <cell r="CW103">
            <v>53.863636363636367</v>
          </cell>
          <cell r="CX103">
            <v>4429.0390365448502</v>
          </cell>
          <cell r="CY103">
            <v>201.31995620658412</v>
          </cell>
          <cell r="CZ103">
            <v>0</v>
          </cell>
          <cell r="DA103">
            <v>0</v>
          </cell>
          <cell r="DB103">
            <v>4429.0390365448502</v>
          </cell>
          <cell r="DC103">
            <v>201.31995620658412</v>
          </cell>
        </row>
        <row r="104">
          <cell r="A104">
            <v>35</v>
          </cell>
          <cell r="B104" t="str">
            <v>CO</v>
          </cell>
          <cell r="C104" t="str">
            <v>B</v>
          </cell>
          <cell r="D104" t="str">
            <v>68669-0B010</v>
          </cell>
          <cell r="E104" t="str">
            <v>RETAINER BACK DOOR PNL LH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Z104">
            <v>1</v>
          </cell>
          <cell r="BA104">
            <v>1</v>
          </cell>
          <cell r="BB104">
            <v>1</v>
          </cell>
          <cell r="BC104">
            <v>1</v>
          </cell>
          <cell r="BF104">
            <v>1</v>
          </cell>
          <cell r="BG104">
            <v>1</v>
          </cell>
          <cell r="BH104">
            <v>1</v>
          </cell>
          <cell r="BI104">
            <v>1</v>
          </cell>
          <cell r="BJ104">
            <v>1</v>
          </cell>
          <cell r="BK104">
            <v>1</v>
          </cell>
          <cell r="BL104">
            <v>1</v>
          </cell>
          <cell r="BM104">
            <v>1</v>
          </cell>
          <cell r="BN104">
            <v>1</v>
          </cell>
          <cell r="BO104">
            <v>1</v>
          </cell>
          <cell r="BP104">
            <v>1</v>
          </cell>
          <cell r="BT104">
            <v>1</v>
          </cell>
          <cell r="BU104">
            <v>1</v>
          </cell>
          <cell r="BV104">
            <v>1</v>
          </cell>
          <cell r="BW104">
            <v>1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H104">
            <v>1</v>
          </cell>
          <cell r="CI104">
            <v>1</v>
          </cell>
          <cell r="CJ104">
            <v>1</v>
          </cell>
          <cell r="CK104">
            <v>1.5</v>
          </cell>
          <cell r="CL104">
            <v>1.5</v>
          </cell>
          <cell r="CM104">
            <v>0.98096102692023257</v>
          </cell>
          <cell r="CN104">
            <v>0</v>
          </cell>
          <cell r="CO104">
            <v>0</v>
          </cell>
          <cell r="CP104">
            <v>1485</v>
          </cell>
          <cell r="CQ104">
            <v>67.5</v>
          </cell>
          <cell r="CR104">
            <v>1759.0390365448504</v>
          </cell>
          <cell r="CS104">
            <v>79.95631984294775</v>
          </cell>
          <cell r="CT104">
            <v>0</v>
          </cell>
          <cell r="CU104">
            <v>0</v>
          </cell>
          <cell r="CV104">
            <v>1185</v>
          </cell>
          <cell r="CW104">
            <v>53.863636363636367</v>
          </cell>
          <cell r="CX104">
            <v>4429.0390365448502</v>
          </cell>
          <cell r="CY104">
            <v>201.31995620658412</v>
          </cell>
          <cell r="CZ104">
            <v>0</v>
          </cell>
          <cell r="DA104">
            <v>0</v>
          </cell>
          <cell r="DB104">
            <v>4429.0390365448502</v>
          </cell>
          <cell r="DC104">
            <v>201.31995620658412</v>
          </cell>
        </row>
        <row r="105">
          <cell r="B105">
            <v>2</v>
          </cell>
          <cell r="C105" t="str">
            <v>B</v>
          </cell>
          <cell r="D105" t="str">
            <v>63381-0B010</v>
          </cell>
          <cell r="E105" t="str">
            <v>RETAINER, ROOF HEADLINING, FR</v>
          </cell>
          <cell r="F105" t="str">
            <v/>
          </cell>
          <cell r="H105" t="str">
            <v/>
          </cell>
          <cell r="J105">
            <v>1</v>
          </cell>
          <cell r="K105">
            <v>1</v>
          </cell>
          <cell r="L105">
            <v>1</v>
          </cell>
          <cell r="N105" t="str">
            <v/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 t="str">
            <v/>
          </cell>
          <cell r="X105" t="str">
            <v/>
          </cell>
          <cell r="Z105" t="str">
            <v/>
          </cell>
          <cell r="AB105" t="str">
            <v/>
          </cell>
          <cell r="AC105">
            <v>1</v>
          </cell>
          <cell r="AD105" t="str">
            <v/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1</v>
          </cell>
          <cell r="AZ105">
            <v>1</v>
          </cell>
          <cell r="BA105">
            <v>1</v>
          </cell>
          <cell r="BB105">
            <v>1</v>
          </cell>
          <cell r="BC105">
            <v>1</v>
          </cell>
          <cell r="CL105">
            <v>2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</row>
        <row r="106">
          <cell r="B106" t="str">
            <v>A</v>
          </cell>
          <cell r="C106" t="str">
            <v>A</v>
          </cell>
          <cell r="D106" t="str">
            <v>57453-0B020</v>
          </cell>
          <cell r="E106" t="str">
            <v>MBR,FR FLOOR CROSS NO.3 (VAN)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CL106">
            <v>1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</row>
        <row r="107">
          <cell r="B107" t="str">
            <v>B</v>
          </cell>
          <cell r="C107" t="str">
            <v>B</v>
          </cell>
          <cell r="D107" t="str">
            <v>48414-0B020</v>
          </cell>
          <cell r="E107" t="str">
            <v>BKT SPRING NO 3 (SHORT)</v>
          </cell>
          <cell r="J107">
            <v>2</v>
          </cell>
          <cell r="K107">
            <v>2</v>
          </cell>
          <cell r="L107">
            <v>2</v>
          </cell>
          <cell r="M107">
            <v>2</v>
          </cell>
          <cell r="N107">
            <v>2</v>
          </cell>
          <cell r="V107">
            <v>2</v>
          </cell>
          <cell r="W107">
            <v>2</v>
          </cell>
          <cell r="Z107">
            <v>2</v>
          </cell>
          <cell r="AA107">
            <v>2</v>
          </cell>
          <cell r="AD107">
            <v>2</v>
          </cell>
          <cell r="AE107">
            <v>2</v>
          </cell>
          <cell r="CL107">
            <v>3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</row>
        <row r="108">
          <cell r="B108" t="str">
            <v>NEW</v>
          </cell>
          <cell r="C108" t="str">
            <v>B</v>
          </cell>
          <cell r="D108" t="str">
            <v>53716-0B110</v>
          </cell>
          <cell r="E108" t="str">
            <v>APPRON FENDER SIDE LH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1</v>
          </cell>
          <cell r="CL108">
            <v>2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</row>
        <row r="110">
          <cell r="CK110">
            <v>62</v>
          </cell>
          <cell r="CM110">
            <v>23.008474888062317</v>
          </cell>
        </row>
        <row r="111">
          <cell r="B111" t="str">
            <v xml:space="preserve"> </v>
          </cell>
          <cell r="CZ111" t="e">
            <v>#REF!</v>
          </cell>
        </row>
        <row r="112">
          <cell r="D112" t="str">
            <v>LOADING  B =</v>
          </cell>
          <cell r="F112" t="str">
            <v>DOM =</v>
          </cell>
          <cell r="G112">
            <v>1.1513131313131317</v>
          </cell>
          <cell r="H112" t="str">
            <v>PHIL =</v>
          </cell>
          <cell r="I112">
            <v>0.23474747474747473</v>
          </cell>
          <cell r="J112" t="str">
            <v>MAL =</v>
          </cell>
          <cell r="K112">
            <v>1.5599999999999998</v>
          </cell>
          <cell r="L112" t="str">
            <v>TAI=</v>
          </cell>
          <cell r="M112">
            <v>0.42457632806470014</v>
          </cell>
          <cell r="N112" t="str">
            <v>VIET=</v>
          </cell>
          <cell r="O112">
            <v>0.12929292929292929</v>
          </cell>
          <cell r="CK112" t="str">
            <v>SA =</v>
          </cell>
          <cell r="CL112">
            <v>0.69737373737373731</v>
          </cell>
          <cell r="CM112" t="str">
            <v>Hn =</v>
          </cell>
        </row>
        <row r="113">
          <cell r="D113" t="str">
            <v>TOT. LOADING B =</v>
          </cell>
          <cell r="F113">
            <v>6.8356874391758113</v>
          </cell>
          <cell r="H113" t="str">
            <v>HOURS</v>
          </cell>
          <cell r="L113" t="str">
            <v>BY =</v>
          </cell>
          <cell r="M113">
            <v>2.6383838383838389</v>
          </cell>
        </row>
        <row r="115">
          <cell r="A115" t="str">
            <v>LINE B4 - 500 T</v>
          </cell>
        </row>
        <row r="117">
          <cell r="A117">
            <v>1</v>
          </cell>
          <cell r="B117" t="str">
            <v>CO</v>
          </cell>
          <cell r="C117" t="str">
            <v>B</v>
          </cell>
          <cell r="D117" t="str">
            <v>51251-0B010</v>
          </cell>
          <cell r="E117" t="str">
            <v>CROSSMEMBER FRAME NO5 (LONG)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Z117">
            <v>1</v>
          </cell>
          <cell r="BA117">
            <v>1</v>
          </cell>
          <cell r="BB117">
            <v>1</v>
          </cell>
          <cell r="BC117">
            <v>1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Q117">
            <v>1</v>
          </cell>
          <cell r="BR117">
            <v>1</v>
          </cell>
          <cell r="CK117">
            <v>1</v>
          </cell>
          <cell r="CM117">
            <v>0.41749723145071982</v>
          </cell>
          <cell r="CN117">
            <v>0</v>
          </cell>
          <cell r="CO117">
            <v>0</v>
          </cell>
          <cell r="CP117">
            <v>990</v>
          </cell>
          <cell r="CQ117">
            <v>45</v>
          </cell>
          <cell r="CR117">
            <v>0</v>
          </cell>
          <cell r="CS117">
            <v>0</v>
          </cell>
          <cell r="CT117">
            <v>200</v>
          </cell>
          <cell r="CU117">
            <v>9.0909090909090917</v>
          </cell>
          <cell r="CV117">
            <v>0</v>
          </cell>
          <cell r="CW117">
            <v>0</v>
          </cell>
          <cell r="CX117">
            <v>1190</v>
          </cell>
          <cell r="CY117">
            <v>54.090909090909093</v>
          </cell>
          <cell r="CZ117">
            <v>695</v>
          </cell>
          <cell r="DA117">
            <v>31.59090909090909</v>
          </cell>
          <cell r="DB117">
            <v>1885</v>
          </cell>
          <cell r="DC117">
            <v>85.681818181818187</v>
          </cell>
        </row>
        <row r="118">
          <cell r="A118">
            <v>2</v>
          </cell>
          <cell r="B118" t="str">
            <v>CO</v>
          </cell>
          <cell r="C118" t="str">
            <v>B4</v>
          </cell>
          <cell r="D118" t="str">
            <v>57471-0B010</v>
          </cell>
          <cell r="E118" t="str">
            <v>R/F, SEAT BELT ANCHOR TO FLOOR MEMBER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  <cell r="BJ118">
            <v>1</v>
          </cell>
          <cell r="BK118">
            <v>1</v>
          </cell>
          <cell r="BL118">
            <v>1</v>
          </cell>
          <cell r="BM118">
            <v>1</v>
          </cell>
          <cell r="BN118">
            <v>1</v>
          </cell>
          <cell r="BQ118">
            <v>1</v>
          </cell>
          <cell r="BR118">
            <v>1</v>
          </cell>
          <cell r="BT118">
            <v>1</v>
          </cell>
          <cell r="BU118">
            <v>1</v>
          </cell>
          <cell r="BV118">
            <v>1</v>
          </cell>
          <cell r="BW118">
            <v>1</v>
          </cell>
          <cell r="BX118">
            <v>1</v>
          </cell>
          <cell r="BY118">
            <v>1</v>
          </cell>
          <cell r="BZ118">
            <v>1</v>
          </cell>
          <cell r="CA118">
            <v>1</v>
          </cell>
          <cell r="CB118">
            <v>1</v>
          </cell>
          <cell r="CC118">
            <v>1</v>
          </cell>
          <cell r="CD118">
            <v>1</v>
          </cell>
          <cell r="CE118">
            <v>1</v>
          </cell>
          <cell r="CF118">
            <v>1</v>
          </cell>
          <cell r="CG118">
            <v>1</v>
          </cell>
          <cell r="CH118">
            <v>1</v>
          </cell>
          <cell r="CI118">
            <v>1</v>
          </cell>
          <cell r="CJ118">
            <v>1</v>
          </cell>
          <cell r="CK118">
            <v>1</v>
          </cell>
          <cell r="CL118">
            <v>1</v>
          </cell>
          <cell r="CM118">
            <v>0.91763961398512883</v>
          </cell>
          <cell r="CN118">
            <v>470</v>
          </cell>
          <cell r="CO118">
            <v>21.363636363636363</v>
          </cell>
          <cell r="CP118">
            <v>990</v>
          </cell>
          <cell r="CQ118">
            <v>45</v>
          </cell>
          <cell r="CR118">
            <v>998.142857142857</v>
          </cell>
          <cell r="CS118">
            <v>45.370129870129865</v>
          </cell>
          <cell r="CT118">
            <v>200</v>
          </cell>
          <cell r="CU118">
            <v>9.0909090909090917</v>
          </cell>
          <cell r="CV118">
            <v>790</v>
          </cell>
          <cell r="CW118">
            <v>35.909090909090907</v>
          </cell>
          <cell r="CX118">
            <v>3448.1428571428569</v>
          </cell>
          <cell r="CY118">
            <v>156.73376623376623</v>
          </cell>
          <cell r="CZ118">
            <v>695</v>
          </cell>
          <cell r="DA118">
            <v>31.59090909090909</v>
          </cell>
          <cell r="DB118">
            <v>4143.1428571428569</v>
          </cell>
          <cell r="DC118">
            <v>188.32467532467533</v>
          </cell>
        </row>
        <row r="119">
          <cell r="A119">
            <v>3</v>
          </cell>
          <cell r="B119" t="str">
            <v>CO</v>
          </cell>
          <cell r="C119" t="str">
            <v>B-B4</v>
          </cell>
          <cell r="D119" t="str">
            <v>53931-0B040</v>
          </cell>
          <cell r="E119" t="str">
            <v>PNL FR END RH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CK119">
            <v>0.5</v>
          </cell>
          <cell r="CM119">
            <v>0.11904761904761904</v>
          </cell>
          <cell r="CN119">
            <v>190</v>
          </cell>
          <cell r="CO119">
            <v>8.6363636363636367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190</v>
          </cell>
          <cell r="CY119">
            <v>8.6363636363636367</v>
          </cell>
          <cell r="CZ119">
            <v>347.5</v>
          </cell>
          <cell r="DA119">
            <v>15.795454545454545</v>
          </cell>
          <cell r="DB119">
            <v>537.5</v>
          </cell>
          <cell r="DC119">
            <v>24.43181818181818</v>
          </cell>
        </row>
        <row r="120">
          <cell r="A120">
            <v>4</v>
          </cell>
          <cell r="B120" t="str">
            <v>CO</v>
          </cell>
          <cell r="C120" t="str">
            <v>B-B4</v>
          </cell>
          <cell r="D120" t="str">
            <v>53932-0B040</v>
          </cell>
          <cell r="E120" t="str">
            <v>PNL FR END LH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CK120">
            <v>0.5</v>
          </cell>
          <cell r="CM120">
            <v>0.11904761904761904</v>
          </cell>
          <cell r="CN120">
            <v>190</v>
          </cell>
          <cell r="CO120">
            <v>8.6363636363636367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190</v>
          </cell>
          <cell r="CY120">
            <v>8.6363636363636367</v>
          </cell>
          <cell r="CZ120">
            <v>347.5</v>
          </cell>
          <cell r="DA120">
            <v>15.795454545454545</v>
          </cell>
          <cell r="DB120">
            <v>537.5</v>
          </cell>
          <cell r="DC120">
            <v>24.43181818181818</v>
          </cell>
        </row>
        <row r="121">
          <cell r="A121">
            <v>5</v>
          </cell>
          <cell r="B121" t="str">
            <v>CO</v>
          </cell>
          <cell r="C121" t="str">
            <v>B</v>
          </cell>
          <cell r="D121" t="str">
            <v>63381-0B010</v>
          </cell>
          <cell r="E121" t="str">
            <v>RETAINER, ROOF HEADLINING, FR</v>
          </cell>
          <cell r="F121" t="str">
            <v/>
          </cell>
          <cell r="H121" t="str">
            <v/>
          </cell>
          <cell r="J121">
            <v>1</v>
          </cell>
          <cell r="K121">
            <v>1</v>
          </cell>
          <cell r="L121">
            <v>1</v>
          </cell>
          <cell r="N121" t="str">
            <v/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 t="str">
            <v/>
          </cell>
          <cell r="X121" t="str">
            <v/>
          </cell>
          <cell r="Z121" t="str">
            <v/>
          </cell>
          <cell r="AB121" t="str">
            <v/>
          </cell>
          <cell r="AC121">
            <v>1</v>
          </cell>
          <cell r="AD121" t="str">
            <v/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CK121">
            <v>1</v>
          </cell>
          <cell r="CL121">
            <v>1</v>
          </cell>
          <cell r="CM121">
            <v>0.32336655592469549</v>
          </cell>
          <cell r="CN121">
            <v>470</v>
          </cell>
          <cell r="CO121">
            <v>21.363636363636363</v>
          </cell>
          <cell r="CP121">
            <v>990</v>
          </cell>
          <cell r="CQ121">
            <v>45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1460</v>
          </cell>
          <cell r="CY121">
            <v>66.36363636363636</v>
          </cell>
          <cell r="CZ121">
            <v>0</v>
          </cell>
          <cell r="DA121">
            <v>0</v>
          </cell>
          <cell r="DB121">
            <v>1460</v>
          </cell>
          <cell r="DC121">
            <v>66.36363636363636</v>
          </cell>
        </row>
        <row r="124">
          <cell r="CK124">
            <v>4</v>
          </cell>
          <cell r="CM124">
            <v>1.8965986394557823</v>
          </cell>
        </row>
        <row r="126">
          <cell r="D126" t="str">
            <v>LOADING B4 =</v>
          </cell>
          <cell r="F126" t="str">
            <v>DOM =</v>
          </cell>
          <cell r="G126">
            <v>0.39653860783567901</v>
          </cell>
          <cell r="H126" t="str">
            <v>PHIL =</v>
          </cell>
          <cell r="I126">
            <v>0.2510460251046025</v>
          </cell>
          <cell r="J126" t="str">
            <v>MAL =</v>
          </cell>
          <cell r="K126">
            <v>0.56485355648535562</v>
          </cell>
          <cell r="L126" t="str">
            <v>TAI=</v>
          </cell>
          <cell r="M126">
            <v>0.18983317937292832</v>
          </cell>
          <cell r="N126" t="str">
            <v>VIET=</v>
          </cell>
          <cell r="O126">
            <v>7.6074553062000769E-2</v>
          </cell>
          <cell r="CK126" t="str">
            <v>SA =</v>
          </cell>
          <cell r="CL126">
            <v>0.15024724229745148</v>
          </cell>
        </row>
        <row r="127">
          <cell r="D127" t="str">
            <v>TOT. LOADING B4 =</v>
          </cell>
          <cell r="F127">
            <v>1.6285931641580176</v>
          </cell>
          <cell r="H127" t="str">
            <v>HOURS</v>
          </cell>
          <cell r="L127" t="str">
            <v>BY =</v>
          </cell>
          <cell r="M127">
            <v>0</v>
          </cell>
        </row>
        <row r="129">
          <cell r="AT129">
            <v>0</v>
          </cell>
        </row>
        <row r="130">
          <cell r="A130" t="str">
            <v>LINE C2345 - 200 T</v>
          </cell>
        </row>
        <row r="132">
          <cell r="A132">
            <v>1</v>
          </cell>
          <cell r="B132" t="str">
            <v>CO</v>
          </cell>
          <cell r="C132" t="str">
            <v>C</v>
          </cell>
          <cell r="D132" t="str">
            <v>11355-06010</v>
          </cell>
          <cell r="E132" t="str">
            <v>PLATE RR END</v>
          </cell>
          <cell r="F132">
            <v>1</v>
          </cell>
          <cell r="G132">
            <v>1</v>
          </cell>
          <cell r="J132">
            <v>1</v>
          </cell>
          <cell r="K132">
            <v>1</v>
          </cell>
          <cell r="L132">
            <v>1</v>
          </cell>
          <cell r="O132">
            <v>1</v>
          </cell>
          <cell r="P132">
            <v>1</v>
          </cell>
          <cell r="Q132">
            <v>1</v>
          </cell>
          <cell r="V132">
            <v>1</v>
          </cell>
          <cell r="X132">
            <v>1</v>
          </cell>
          <cell r="Z132">
            <v>1</v>
          </cell>
          <cell r="AA132">
            <v>1</v>
          </cell>
          <cell r="AB132">
            <v>1</v>
          </cell>
          <cell r="AZ132">
            <v>1</v>
          </cell>
          <cell r="BA132">
            <v>1</v>
          </cell>
          <cell r="BQ132">
            <v>1</v>
          </cell>
          <cell r="BR132">
            <v>1</v>
          </cell>
          <cell r="CK132">
            <v>3</v>
          </cell>
          <cell r="CM132">
            <v>0.98671096345514953</v>
          </cell>
          <cell r="CN132">
            <v>0</v>
          </cell>
          <cell r="CO132">
            <v>0</v>
          </cell>
          <cell r="CP132">
            <v>1770</v>
          </cell>
          <cell r="CQ132">
            <v>80.454545454545453</v>
          </cell>
          <cell r="CR132">
            <v>0</v>
          </cell>
          <cell r="CS132">
            <v>0</v>
          </cell>
          <cell r="CT132">
            <v>600</v>
          </cell>
          <cell r="CU132">
            <v>27.272727272727273</v>
          </cell>
          <cell r="CV132">
            <v>0</v>
          </cell>
          <cell r="CW132">
            <v>0</v>
          </cell>
          <cell r="CX132">
            <v>2370</v>
          </cell>
          <cell r="CY132">
            <v>107.72727272727272</v>
          </cell>
          <cell r="CZ132">
            <v>2085</v>
          </cell>
          <cell r="DA132">
            <v>94.772727272727266</v>
          </cell>
          <cell r="DB132">
            <v>4455</v>
          </cell>
          <cell r="DC132">
            <v>202.5</v>
          </cell>
        </row>
        <row r="133">
          <cell r="A133">
            <v>2</v>
          </cell>
          <cell r="B133" t="str">
            <v>CO</v>
          </cell>
          <cell r="C133" t="str">
            <v>C</v>
          </cell>
          <cell r="D133" t="str">
            <v>11355-06020</v>
          </cell>
          <cell r="E133" t="str">
            <v>PLATE RR END</v>
          </cell>
          <cell r="M133">
            <v>1</v>
          </cell>
          <cell r="R133">
            <v>1</v>
          </cell>
          <cell r="BB133">
            <v>1</v>
          </cell>
          <cell r="CK133">
            <v>3</v>
          </cell>
          <cell r="CM133">
            <v>1.3289036544850499E-2</v>
          </cell>
          <cell r="CN133">
            <v>0</v>
          </cell>
          <cell r="CO133">
            <v>0</v>
          </cell>
          <cell r="CP133">
            <v>60</v>
          </cell>
          <cell r="CQ133">
            <v>2.7272727272727271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60</v>
          </cell>
          <cell r="CY133">
            <v>2.7272727272727271</v>
          </cell>
          <cell r="CZ133">
            <v>0</v>
          </cell>
          <cell r="DA133">
            <v>0</v>
          </cell>
          <cell r="DB133">
            <v>60</v>
          </cell>
          <cell r="DC133">
            <v>2.7272727272727271</v>
          </cell>
        </row>
        <row r="134">
          <cell r="A134">
            <v>3</v>
          </cell>
          <cell r="B134" t="str">
            <v>CO</v>
          </cell>
          <cell r="C134" t="str">
            <v>C</v>
          </cell>
          <cell r="D134" t="str">
            <v>12121-06010</v>
          </cell>
          <cell r="E134" t="str">
            <v>PLATE OIL PAN BAFFLE</v>
          </cell>
          <cell r="F134">
            <v>1</v>
          </cell>
          <cell r="G134">
            <v>1</v>
          </cell>
          <cell r="H134">
            <v>0</v>
          </cell>
          <cell r="I134">
            <v>0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1</v>
          </cell>
          <cell r="W134">
            <v>0</v>
          </cell>
          <cell r="X134">
            <v>1</v>
          </cell>
          <cell r="Y134">
            <v>0</v>
          </cell>
          <cell r="Z134">
            <v>1</v>
          </cell>
          <cell r="AA134">
            <v>1</v>
          </cell>
          <cell r="AB134">
            <v>1</v>
          </cell>
          <cell r="AC134">
            <v>0</v>
          </cell>
          <cell r="AZ134">
            <v>1</v>
          </cell>
          <cell r="BA134">
            <v>1</v>
          </cell>
          <cell r="BB134">
            <v>1</v>
          </cell>
          <cell r="BQ134">
            <v>1</v>
          </cell>
          <cell r="BR134">
            <v>1</v>
          </cell>
          <cell r="CK134">
            <v>2</v>
          </cell>
          <cell r="CM134">
            <v>0.66666666666666663</v>
          </cell>
          <cell r="CN134">
            <v>0</v>
          </cell>
          <cell r="CO134">
            <v>0</v>
          </cell>
          <cell r="CP134">
            <v>1220</v>
          </cell>
          <cell r="CQ134">
            <v>55.454545454545453</v>
          </cell>
          <cell r="CR134">
            <v>0</v>
          </cell>
          <cell r="CS134">
            <v>0</v>
          </cell>
          <cell r="CT134">
            <v>400</v>
          </cell>
          <cell r="CU134">
            <v>18.181818181818183</v>
          </cell>
          <cell r="CV134">
            <v>0</v>
          </cell>
          <cell r="CW134">
            <v>0</v>
          </cell>
          <cell r="CX134">
            <v>1620</v>
          </cell>
          <cell r="CY134">
            <v>73.63636363636364</v>
          </cell>
          <cell r="CZ134">
            <v>1390</v>
          </cell>
          <cell r="DA134">
            <v>63.18181818181818</v>
          </cell>
          <cell r="DB134">
            <v>3010</v>
          </cell>
          <cell r="DC134">
            <v>136.81818181818181</v>
          </cell>
        </row>
        <row r="135">
          <cell r="A135">
            <v>4</v>
          </cell>
          <cell r="B135" t="str">
            <v>CO</v>
          </cell>
          <cell r="C135" t="str">
            <v>C</v>
          </cell>
          <cell r="D135" t="str">
            <v>51361-0B010</v>
          </cell>
          <cell r="E135" t="str">
            <v>GUSSET CROSSMEMBER NO6</v>
          </cell>
          <cell r="F135">
            <v>2</v>
          </cell>
          <cell r="G135">
            <v>2</v>
          </cell>
          <cell r="H135">
            <v>2</v>
          </cell>
          <cell r="I135">
            <v>2</v>
          </cell>
          <cell r="J135">
            <v>2</v>
          </cell>
          <cell r="K135">
            <v>2</v>
          </cell>
          <cell r="L135">
            <v>2</v>
          </cell>
          <cell r="M135">
            <v>2</v>
          </cell>
          <cell r="N135">
            <v>2</v>
          </cell>
          <cell r="O135">
            <v>2</v>
          </cell>
          <cell r="P135">
            <v>2</v>
          </cell>
          <cell r="Q135">
            <v>2</v>
          </cell>
          <cell r="R135">
            <v>2</v>
          </cell>
          <cell r="S135">
            <v>2</v>
          </cell>
          <cell r="T135">
            <v>2</v>
          </cell>
          <cell r="U135">
            <v>2</v>
          </cell>
          <cell r="V135">
            <v>2</v>
          </cell>
          <cell r="W135">
            <v>2</v>
          </cell>
          <cell r="X135">
            <v>2</v>
          </cell>
          <cell r="Y135">
            <v>2</v>
          </cell>
          <cell r="Z135">
            <v>2</v>
          </cell>
          <cell r="AA135">
            <v>2</v>
          </cell>
          <cell r="AB135">
            <v>2</v>
          </cell>
          <cell r="AC135">
            <v>2</v>
          </cell>
          <cell r="AD135">
            <v>2</v>
          </cell>
          <cell r="AE135">
            <v>2</v>
          </cell>
          <cell r="AF135">
            <v>2</v>
          </cell>
          <cell r="AG135">
            <v>2</v>
          </cell>
          <cell r="AH135">
            <v>2</v>
          </cell>
          <cell r="AI135">
            <v>2</v>
          </cell>
          <cell r="AZ135">
            <v>2</v>
          </cell>
          <cell r="BA135">
            <v>2</v>
          </cell>
          <cell r="BB135">
            <v>2</v>
          </cell>
          <cell r="BC135">
            <v>2</v>
          </cell>
          <cell r="BE135">
            <v>2</v>
          </cell>
          <cell r="BF135">
            <v>2</v>
          </cell>
          <cell r="BG135">
            <v>2</v>
          </cell>
          <cell r="BH135">
            <v>2</v>
          </cell>
          <cell r="BI135">
            <v>2</v>
          </cell>
          <cell r="BJ135">
            <v>2</v>
          </cell>
          <cell r="BK135">
            <v>2</v>
          </cell>
          <cell r="BL135">
            <v>2</v>
          </cell>
          <cell r="BM135">
            <v>2</v>
          </cell>
          <cell r="BN135">
            <v>2</v>
          </cell>
          <cell r="BQ135">
            <v>2</v>
          </cell>
          <cell r="BR135">
            <v>2</v>
          </cell>
          <cell r="BT135">
            <v>2</v>
          </cell>
          <cell r="BU135">
            <v>2</v>
          </cell>
          <cell r="BV135">
            <v>2</v>
          </cell>
          <cell r="BW135">
            <v>2</v>
          </cell>
          <cell r="BX135">
            <v>2</v>
          </cell>
          <cell r="BY135">
            <v>2</v>
          </cell>
          <cell r="BZ135">
            <v>2</v>
          </cell>
          <cell r="CA135">
            <v>2</v>
          </cell>
          <cell r="CB135">
            <v>2</v>
          </cell>
          <cell r="CC135">
            <v>2</v>
          </cell>
          <cell r="CD135">
            <v>2</v>
          </cell>
          <cell r="CE135">
            <v>2</v>
          </cell>
          <cell r="CF135">
            <v>2</v>
          </cell>
          <cell r="CG135">
            <v>2</v>
          </cell>
          <cell r="CH135">
            <v>2</v>
          </cell>
          <cell r="CI135">
            <v>2</v>
          </cell>
          <cell r="CJ135">
            <v>2</v>
          </cell>
          <cell r="CK135">
            <v>1</v>
          </cell>
          <cell r="CL135">
            <v>2</v>
          </cell>
          <cell r="CM135">
            <v>1.6270843221009332</v>
          </cell>
          <cell r="CN135">
            <v>0</v>
          </cell>
          <cell r="CO135">
            <v>0</v>
          </cell>
          <cell r="CP135">
            <v>1980</v>
          </cell>
          <cell r="CQ135">
            <v>90</v>
          </cell>
          <cell r="CR135">
            <v>1996.285714285714</v>
          </cell>
          <cell r="CS135">
            <v>90.740259740259731</v>
          </cell>
          <cell r="CT135">
            <v>400</v>
          </cell>
          <cell r="CU135">
            <v>18.181818181818183</v>
          </cell>
          <cell r="CV135">
            <v>1580</v>
          </cell>
          <cell r="CW135">
            <v>71.818181818181813</v>
          </cell>
          <cell r="CX135">
            <v>5956.2857142857138</v>
          </cell>
          <cell r="CY135">
            <v>270.74025974025972</v>
          </cell>
          <cell r="CZ135">
            <v>1390</v>
          </cell>
          <cell r="DA135">
            <v>63.18181818181818</v>
          </cell>
          <cell r="DB135">
            <v>7346.2857142857138</v>
          </cell>
          <cell r="DC135">
            <v>333.9220779220779</v>
          </cell>
        </row>
        <row r="136">
          <cell r="A136">
            <v>5</v>
          </cell>
          <cell r="B136" t="str">
            <v>CO</v>
          </cell>
          <cell r="C136" t="str">
            <v>C</v>
          </cell>
          <cell r="D136" t="str">
            <v>52141-0B040</v>
          </cell>
          <cell r="E136" t="str">
            <v>STAY FR BUMPER RH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Z136">
            <v>1</v>
          </cell>
          <cell r="BA136">
            <v>1</v>
          </cell>
          <cell r="BB136">
            <v>1</v>
          </cell>
          <cell r="BC136">
            <v>1</v>
          </cell>
          <cell r="CK136">
            <v>1.5</v>
          </cell>
          <cell r="CM136">
            <v>0.71594684385382057</v>
          </cell>
          <cell r="CN136">
            <v>705</v>
          </cell>
          <cell r="CO136">
            <v>32.045454545454547</v>
          </cell>
          <cell r="CP136">
            <v>1485</v>
          </cell>
          <cell r="CQ136">
            <v>67.5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2190</v>
          </cell>
          <cell r="CY136">
            <v>99.545454545454547</v>
          </cell>
          <cell r="CZ136">
            <v>1042.5</v>
          </cell>
          <cell r="DA136">
            <v>47.386363636363633</v>
          </cell>
          <cell r="DB136">
            <v>3232.5</v>
          </cell>
          <cell r="DC136">
            <v>146.93181818181819</v>
          </cell>
        </row>
        <row r="137">
          <cell r="A137">
            <v>6</v>
          </cell>
          <cell r="B137" t="str">
            <v>CO</v>
          </cell>
          <cell r="C137" t="str">
            <v>C</v>
          </cell>
          <cell r="D137" t="str">
            <v>52142-0B030</v>
          </cell>
          <cell r="E137" t="str">
            <v>STAY FR BUMPER LH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1</v>
          </cell>
          <cell r="AZ137">
            <v>1</v>
          </cell>
          <cell r="BA137">
            <v>1</v>
          </cell>
          <cell r="BB137">
            <v>1</v>
          </cell>
          <cell r="BC137">
            <v>1</v>
          </cell>
          <cell r="CK137">
            <v>1.5</v>
          </cell>
          <cell r="CM137">
            <v>0.71594684385382057</v>
          </cell>
          <cell r="CN137">
            <v>705</v>
          </cell>
          <cell r="CO137">
            <v>32.045454545454547</v>
          </cell>
          <cell r="CP137">
            <v>1485</v>
          </cell>
          <cell r="CQ137">
            <v>67.5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2190</v>
          </cell>
          <cell r="CY137">
            <v>99.545454545454547</v>
          </cell>
          <cell r="CZ137">
            <v>1042.5</v>
          </cell>
          <cell r="DA137">
            <v>47.386363636363633</v>
          </cell>
          <cell r="DB137">
            <v>3232.5</v>
          </cell>
          <cell r="DC137">
            <v>146.93181818181819</v>
          </cell>
        </row>
        <row r="138">
          <cell r="A138">
            <v>7</v>
          </cell>
          <cell r="B138" t="str">
            <v>CO</v>
          </cell>
          <cell r="C138" t="str">
            <v>C</v>
          </cell>
          <cell r="D138" t="str">
            <v>53217-0B050</v>
          </cell>
          <cell r="E138" t="str">
            <v>BRACE HOOD LOCK SUPPORT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CK138">
            <v>2</v>
          </cell>
          <cell r="CM138">
            <v>0.30786267995570321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1390</v>
          </cell>
          <cell r="DA138">
            <v>63.18181818181818</v>
          </cell>
          <cell r="DB138">
            <v>1390</v>
          </cell>
          <cell r="DC138">
            <v>63.18181818181818</v>
          </cell>
        </row>
        <row r="139">
          <cell r="A139">
            <v>8</v>
          </cell>
          <cell r="B139" t="str">
            <v>CO</v>
          </cell>
          <cell r="C139" t="str">
            <v>C</v>
          </cell>
          <cell r="D139" t="str">
            <v>53217-0B060</v>
          </cell>
          <cell r="E139" t="str">
            <v>BRACE HOOD LOCK SUPPORT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1</v>
          </cell>
          <cell r="CK139">
            <v>2</v>
          </cell>
          <cell r="CM139">
            <v>0.20819490586932449</v>
          </cell>
          <cell r="CN139">
            <v>940</v>
          </cell>
          <cell r="CO139">
            <v>42.727272727272727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940</v>
          </cell>
          <cell r="CY139">
            <v>42.727272727272727</v>
          </cell>
          <cell r="CZ139">
            <v>0</v>
          </cell>
          <cell r="DA139">
            <v>0</v>
          </cell>
          <cell r="DB139">
            <v>940</v>
          </cell>
          <cell r="DC139">
            <v>42.727272727272727</v>
          </cell>
        </row>
        <row r="140">
          <cell r="A140">
            <v>9</v>
          </cell>
          <cell r="B140" t="str">
            <v>CO</v>
          </cell>
          <cell r="C140" t="str">
            <v>C</v>
          </cell>
          <cell r="D140" t="str">
            <v>53219-0B010</v>
          </cell>
          <cell r="E140" t="str">
            <v>SPT, RADIATOR, LWR RR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1</v>
          </cell>
          <cell r="AZ140">
            <v>1</v>
          </cell>
          <cell r="BA140">
            <v>1</v>
          </cell>
          <cell r="BB140">
            <v>1</v>
          </cell>
          <cell r="BC140">
            <v>1</v>
          </cell>
          <cell r="CK140">
            <v>1</v>
          </cell>
          <cell r="CM140">
            <v>0.47729789590254706</v>
          </cell>
          <cell r="CN140">
            <v>470</v>
          </cell>
          <cell r="CO140">
            <v>21.363636363636363</v>
          </cell>
          <cell r="CP140">
            <v>990</v>
          </cell>
          <cell r="CQ140">
            <v>45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1460</v>
          </cell>
          <cell r="CY140">
            <v>66.36363636363636</v>
          </cell>
          <cell r="CZ140">
            <v>695</v>
          </cell>
          <cell r="DA140">
            <v>31.59090909090909</v>
          </cell>
          <cell r="DB140">
            <v>2155</v>
          </cell>
          <cell r="DC140">
            <v>97.954545454545453</v>
          </cell>
        </row>
        <row r="141">
          <cell r="A141">
            <v>10</v>
          </cell>
          <cell r="B141" t="str">
            <v>CO</v>
          </cell>
          <cell r="C141" t="str">
            <v>C-B</v>
          </cell>
          <cell r="D141" t="str">
            <v>53717-0B010</v>
          </cell>
          <cell r="E141" t="str">
            <v>APRON, FR FENDER, NO.2 RH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CK141">
            <v>1</v>
          </cell>
          <cell r="CL141">
            <v>1</v>
          </cell>
          <cell r="CM141">
            <v>0.37320044296788485</v>
          </cell>
          <cell r="CN141">
            <v>0</v>
          </cell>
          <cell r="CO141">
            <v>0</v>
          </cell>
          <cell r="CP141">
            <v>990</v>
          </cell>
          <cell r="CQ141">
            <v>45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990</v>
          </cell>
          <cell r="CY141">
            <v>45</v>
          </cell>
          <cell r="CZ141">
            <v>695</v>
          </cell>
          <cell r="DA141">
            <v>31.59090909090909</v>
          </cell>
          <cell r="DB141">
            <v>1685</v>
          </cell>
          <cell r="DC141">
            <v>76.590909090909093</v>
          </cell>
        </row>
        <row r="142">
          <cell r="A142">
            <v>11</v>
          </cell>
          <cell r="B142" t="str">
            <v>CO</v>
          </cell>
          <cell r="C142" t="str">
            <v>C-B</v>
          </cell>
          <cell r="D142" t="str">
            <v>53718-0B010</v>
          </cell>
          <cell r="E142" t="str">
            <v>APRON, FR FENDER, NO.2 LH (7K)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CK142">
            <v>1</v>
          </cell>
          <cell r="CL142">
            <v>1</v>
          </cell>
          <cell r="CM142">
            <v>0.15393133997785161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695</v>
          </cell>
          <cell r="DA142">
            <v>31.59090909090909</v>
          </cell>
          <cell r="DB142">
            <v>695</v>
          </cell>
          <cell r="DC142">
            <v>31.59090909090909</v>
          </cell>
        </row>
        <row r="143">
          <cell r="A143">
            <v>12</v>
          </cell>
          <cell r="B143" t="str">
            <v>CO</v>
          </cell>
          <cell r="C143" t="str">
            <v>C</v>
          </cell>
          <cell r="D143" t="str">
            <v>55356-0B030</v>
          </cell>
          <cell r="E143" t="str">
            <v>BKT INSTRUMENT PANEL LOWER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Z143">
            <v>1</v>
          </cell>
          <cell r="BA143">
            <v>1</v>
          </cell>
          <cell r="BB143">
            <v>1</v>
          </cell>
          <cell r="BC143">
            <v>1</v>
          </cell>
          <cell r="BT143">
            <v>1</v>
          </cell>
          <cell r="BU143">
            <v>1</v>
          </cell>
          <cell r="BV143">
            <v>1</v>
          </cell>
          <cell r="BW143">
            <v>1</v>
          </cell>
          <cell r="BX143">
            <v>1</v>
          </cell>
          <cell r="BY143">
            <v>1</v>
          </cell>
          <cell r="BZ143">
            <v>1</v>
          </cell>
          <cell r="CA143">
            <v>1</v>
          </cell>
          <cell r="CB143">
            <v>1</v>
          </cell>
          <cell r="CC143">
            <v>1</v>
          </cell>
          <cell r="CD143">
            <v>1</v>
          </cell>
          <cell r="CE143">
            <v>1</v>
          </cell>
          <cell r="CK143">
            <v>3</v>
          </cell>
          <cell r="CM143">
            <v>1.3056478405315615</v>
          </cell>
          <cell r="CN143">
            <v>0</v>
          </cell>
          <cell r="CO143">
            <v>0</v>
          </cell>
          <cell r="CP143">
            <v>2970</v>
          </cell>
          <cell r="CQ143">
            <v>135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840</v>
          </cell>
          <cell r="CW143">
            <v>38.18181818181818</v>
          </cell>
          <cell r="CX143">
            <v>3810</v>
          </cell>
          <cell r="CY143">
            <v>173.18181818181819</v>
          </cell>
          <cell r="CZ143">
            <v>2085</v>
          </cell>
          <cell r="DA143">
            <v>94.772727272727266</v>
          </cell>
          <cell r="DB143">
            <v>5895</v>
          </cell>
          <cell r="DC143">
            <v>267.95454545454544</v>
          </cell>
        </row>
        <row r="144">
          <cell r="A144">
            <v>13</v>
          </cell>
          <cell r="B144" t="str">
            <v>CO</v>
          </cell>
          <cell r="C144" t="str">
            <v>C</v>
          </cell>
          <cell r="D144" t="str">
            <v>55365-0B030</v>
          </cell>
          <cell r="E144" t="str">
            <v>BKT RADIATOR TURNING MOUNTING NO.1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Z144">
            <v>1</v>
          </cell>
          <cell r="BA144">
            <v>1</v>
          </cell>
          <cell r="BB144">
            <v>1</v>
          </cell>
          <cell r="BC144">
            <v>1</v>
          </cell>
          <cell r="BT144">
            <v>1</v>
          </cell>
          <cell r="BU144">
            <v>1</v>
          </cell>
          <cell r="BV144">
            <v>1</v>
          </cell>
          <cell r="BW144">
            <v>1</v>
          </cell>
          <cell r="BX144">
            <v>1</v>
          </cell>
          <cell r="BY144">
            <v>1</v>
          </cell>
          <cell r="BZ144">
            <v>1</v>
          </cell>
          <cell r="CA144">
            <v>1</v>
          </cell>
          <cell r="CB144">
            <v>1</v>
          </cell>
          <cell r="CC144">
            <v>1</v>
          </cell>
          <cell r="CD144">
            <v>1</v>
          </cell>
          <cell r="CE144">
            <v>1</v>
          </cell>
          <cell r="CK144">
            <v>3</v>
          </cell>
          <cell r="CM144">
            <v>1.3056478405315615</v>
          </cell>
          <cell r="CN144">
            <v>0</v>
          </cell>
          <cell r="CO144">
            <v>0</v>
          </cell>
          <cell r="CP144">
            <v>2970</v>
          </cell>
          <cell r="CQ144">
            <v>135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840</v>
          </cell>
          <cell r="CW144">
            <v>38.18181818181818</v>
          </cell>
          <cell r="CX144">
            <v>3810</v>
          </cell>
          <cell r="CY144">
            <v>173.18181818181819</v>
          </cell>
          <cell r="CZ144">
            <v>2085</v>
          </cell>
          <cell r="DA144">
            <v>94.772727272727266</v>
          </cell>
          <cell r="DB144">
            <v>5895</v>
          </cell>
          <cell r="DC144">
            <v>267.95454545454544</v>
          </cell>
        </row>
        <row r="145">
          <cell r="A145">
            <v>14</v>
          </cell>
          <cell r="B145" t="str">
            <v>CO</v>
          </cell>
          <cell r="C145" t="str">
            <v>C</v>
          </cell>
          <cell r="D145" t="str">
            <v>57153-0B010</v>
          </cell>
          <cell r="E145" t="str">
            <v>R/F, FR SIDE MEMBER, NO. 2</v>
          </cell>
          <cell r="F145">
            <v>2</v>
          </cell>
          <cell r="G145">
            <v>2</v>
          </cell>
          <cell r="H145">
            <v>2</v>
          </cell>
          <cell r="I145">
            <v>2</v>
          </cell>
          <cell r="J145">
            <v>2</v>
          </cell>
          <cell r="K145">
            <v>2</v>
          </cell>
          <cell r="L145">
            <v>2</v>
          </cell>
          <cell r="M145">
            <v>2</v>
          </cell>
          <cell r="N145">
            <v>2</v>
          </cell>
          <cell r="O145">
            <v>2</v>
          </cell>
          <cell r="P145">
            <v>2</v>
          </cell>
          <cell r="Q145">
            <v>2</v>
          </cell>
          <cell r="R145">
            <v>2</v>
          </cell>
          <cell r="S145">
            <v>2</v>
          </cell>
          <cell r="T145">
            <v>2</v>
          </cell>
          <cell r="U145">
            <v>2</v>
          </cell>
          <cell r="V145">
            <v>2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2</v>
          </cell>
          <cell r="AD145">
            <v>2</v>
          </cell>
          <cell r="AE145">
            <v>2</v>
          </cell>
          <cell r="AF145">
            <v>2</v>
          </cell>
          <cell r="AG145">
            <v>2</v>
          </cell>
          <cell r="AH145">
            <v>2</v>
          </cell>
          <cell r="AI145">
            <v>2</v>
          </cell>
          <cell r="AZ145">
            <v>2</v>
          </cell>
          <cell r="BA145">
            <v>2</v>
          </cell>
          <cell r="BB145">
            <v>2</v>
          </cell>
          <cell r="BC145">
            <v>2</v>
          </cell>
          <cell r="BE145">
            <v>2</v>
          </cell>
          <cell r="BF145">
            <v>2</v>
          </cell>
          <cell r="BG145">
            <v>2</v>
          </cell>
          <cell r="BH145">
            <v>2</v>
          </cell>
          <cell r="BI145">
            <v>2</v>
          </cell>
          <cell r="BJ145">
            <v>2</v>
          </cell>
          <cell r="BK145">
            <v>2</v>
          </cell>
          <cell r="BL145">
            <v>2</v>
          </cell>
          <cell r="BM145">
            <v>2</v>
          </cell>
          <cell r="BN145">
            <v>2</v>
          </cell>
          <cell r="BQ145">
            <v>2</v>
          </cell>
          <cell r="BR145">
            <v>2</v>
          </cell>
          <cell r="BT145">
            <v>2</v>
          </cell>
          <cell r="BU145">
            <v>2</v>
          </cell>
          <cell r="BV145">
            <v>2</v>
          </cell>
          <cell r="BW145">
            <v>2</v>
          </cell>
          <cell r="BX145">
            <v>2</v>
          </cell>
          <cell r="BY145">
            <v>2</v>
          </cell>
          <cell r="BZ145">
            <v>2</v>
          </cell>
          <cell r="CA145">
            <v>2</v>
          </cell>
          <cell r="CB145">
            <v>2</v>
          </cell>
          <cell r="CC145">
            <v>2</v>
          </cell>
          <cell r="CD145">
            <v>2</v>
          </cell>
          <cell r="CE145">
            <v>2</v>
          </cell>
          <cell r="CF145">
            <v>2</v>
          </cell>
          <cell r="CG145">
            <v>2</v>
          </cell>
          <cell r="CH145">
            <v>2</v>
          </cell>
          <cell r="CI145">
            <v>2</v>
          </cell>
          <cell r="CJ145">
            <v>2</v>
          </cell>
          <cell r="CK145">
            <v>2</v>
          </cell>
          <cell r="CM145">
            <v>3.2541686442018665</v>
          </cell>
          <cell r="CN145">
            <v>0</v>
          </cell>
          <cell r="CO145">
            <v>0</v>
          </cell>
          <cell r="CP145">
            <v>3960</v>
          </cell>
          <cell r="CQ145">
            <v>180</v>
          </cell>
          <cell r="CR145">
            <v>3992.571428571428</v>
          </cell>
          <cell r="CS145">
            <v>181.48051948051946</v>
          </cell>
          <cell r="CT145">
            <v>800</v>
          </cell>
          <cell r="CU145">
            <v>36.363636363636367</v>
          </cell>
          <cell r="CV145">
            <v>3160</v>
          </cell>
          <cell r="CW145">
            <v>143.63636363636363</v>
          </cell>
          <cell r="CX145">
            <v>11912.571428571428</v>
          </cell>
          <cell r="CY145">
            <v>541.48051948051943</v>
          </cell>
          <cell r="CZ145">
            <v>2780</v>
          </cell>
          <cell r="DA145">
            <v>126.36363636363636</v>
          </cell>
          <cell r="DB145">
            <v>14692.571428571428</v>
          </cell>
          <cell r="DC145">
            <v>667.84415584415581</v>
          </cell>
        </row>
        <row r="146">
          <cell r="A146">
            <v>15</v>
          </cell>
          <cell r="B146" t="str">
            <v>CO</v>
          </cell>
          <cell r="C146" t="str">
            <v>C</v>
          </cell>
          <cell r="D146" t="str">
            <v>58153-0B020.30</v>
          </cell>
          <cell r="E146" t="str">
            <v>INSULATOR FLOOR HEAT NO. 3</v>
          </cell>
          <cell r="K146">
            <v>1</v>
          </cell>
          <cell r="L146">
            <v>1</v>
          </cell>
          <cell r="M146">
            <v>1</v>
          </cell>
          <cell r="P146">
            <v>1</v>
          </cell>
          <cell r="Q146">
            <v>1</v>
          </cell>
          <cell r="R146">
            <v>1</v>
          </cell>
          <cell r="V146">
            <v>1</v>
          </cell>
          <cell r="Z146">
            <v>1</v>
          </cell>
          <cell r="AB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R146">
            <v>1</v>
          </cell>
          <cell r="AS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O146">
            <v>1</v>
          </cell>
          <cell r="BP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M146">
            <v>0.7224736297980523</v>
          </cell>
          <cell r="CN146">
            <v>170</v>
          </cell>
          <cell r="CO146">
            <v>7.7272727272727275</v>
          </cell>
          <cell r="CP146">
            <v>990</v>
          </cell>
          <cell r="CQ146">
            <v>45</v>
          </cell>
          <cell r="CR146">
            <v>1311.9684385382059</v>
          </cell>
          <cell r="CS146">
            <v>59.634929024463901</v>
          </cell>
          <cell r="CT146">
            <v>0</v>
          </cell>
          <cell r="CU146">
            <v>0</v>
          </cell>
          <cell r="CV146">
            <v>790</v>
          </cell>
          <cell r="CW146">
            <v>35.909090909090907</v>
          </cell>
          <cell r="CX146">
            <v>3261.9684385382061</v>
          </cell>
          <cell r="CY146">
            <v>148.27129266082753</v>
          </cell>
          <cell r="CZ146">
            <v>0</v>
          </cell>
          <cell r="DA146">
            <v>0</v>
          </cell>
          <cell r="DB146">
            <v>3261.9684385382061</v>
          </cell>
          <cell r="DC146">
            <v>148.27129266082753</v>
          </cell>
        </row>
        <row r="147">
          <cell r="A147">
            <v>16</v>
          </cell>
          <cell r="B147" t="str">
            <v>CO</v>
          </cell>
          <cell r="C147" t="str">
            <v>C</v>
          </cell>
          <cell r="D147" t="str">
            <v>58155-0B030</v>
          </cell>
          <cell r="E147" t="str">
            <v>INSULATOR FR FLOOR HEAT NO.3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R147">
            <v>1</v>
          </cell>
          <cell r="AS147">
            <v>1</v>
          </cell>
          <cell r="AW147">
            <v>1</v>
          </cell>
          <cell r="AX147">
            <v>1</v>
          </cell>
          <cell r="CK147">
            <v>1</v>
          </cell>
          <cell r="CM147">
            <v>4.4296788482834993E-3</v>
          </cell>
          <cell r="CN147">
            <v>20</v>
          </cell>
          <cell r="CO147">
            <v>0.90909090909090906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20</v>
          </cell>
          <cell r="CY147">
            <v>0.90909090909090906</v>
          </cell>
          <cell r="CZ147">
            <v>0</v>
          </cell>
          <cell r="DA147">
            <v>0</v>
          </cell>
          <cell r="DB147">
            <v>20</v>
          </cell>
          <cell r="DC147">
            <v>0.90909090909090906</v>
          </cell>
        </row>
        <row r="148">
          <cell r="A148">
            <v>17</v>
          </cell>
          <cell r="B148" t="str">
            <v>CO</v>
          </cell>
          <cell r="C148" t="str">
            <v>C</v>
          </cell>
          <cell r="D148" t="str">
            <v>59363-0B030</v>
          </cell>
          <cell r="E148" t="str">
            <v>RETAINER, RR SEAT, NO.1 C</v>
          </cell>
          <cell r="F148" t="str">
            <v/>
          </cell>
          <cell r="H148" t="str">
            <v/>
          </cell>
          <cell r="J148" t="str">
            <v/>
          </cell>
          <cell r="L148" t="str">
            <v/>
          </cell>
          <cell r="N148" t="str">
            <v/>
          </cell>
          <cell r="O148">
            <v>2</v>
          </cell>
          <cell r="P148">
            <v>2</v>
          </cell>
          <cell r="Q148">
            <v>2</v>
          </cell>
          <cell r="R148">
            <v>2</v>
          </cell>
          <cell r="S148">
            <v>2</v>
          </cell>
          <cell r="T148">
            <v>2</v>
          </cell>
          <cell r="U148">
            <v>2</v>
          </cell>
          <cell r="V148" t="str">
            <v/>
          </cell>
          <cell r="X148">
            <v>2</v>
          </cell>
          <cell r="Y148">
            <v>2</v>
          </cell>
          <cell r="Z148">
            <v>2</v>
          </cell>
          <cell r="AA148">
            <v>2</v>
          </cell>
          <cell r="AB148">
            <v>2</v>
          </cell>
          <cell r="AC148">
            <v>2</v>
          </cell>
          <cell r="AD148" t="str">
            <v/>
          </cell>
          <cell r="AF148">
            <v>2</v>
          </cell>
          <cell r="AG148">
            <v>2</v>
          </cell>
          <cell r="AH148">
            <v>2</v>
          </cell>
          <cell r="AI148">
            <v>2</v>
          </cell>
          <cell r="AJ148" t="str">
            <v/>
          </cell>
          <cell r="AL148" t="str">
            <v/>
          </cell>
          <cell r="AN148" t="str">
            <v/>
          </cell>
          <cell r="AZ148">
            <v>2</v>
          </cell>
          <cell r="BA148">
            <v>2</v>
          </cell>
          <cell r="BB148">
            <v>2</v>
          </cell>
          <cell r="BC148">
            <v>2</v>
          </cell>
          <cell r="CK148">
            <v>1</v>
          </cell>
          <cell r="CL148">
            <v>1</v>
          </cell>
          <cell r="CM148">
            <v>0.43853820598006643</v>
          </cell>
          <cell r="CN148">
            <v>0</v>
          </cell>
          <cell r="CO148">
            <v>0</v>
          </cell>
          <cell r="CP148">
            <v>1980</v>
          </cell>
          <cell r="CQ148">
            <v>90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1980</v>
          </cell>
          <cell r="CY148">
            <v>90</v>
          </cell>
          <cell r="CZ148">
            <v>0</v>
          </cell>
          <cell r="DA148">
            <v>0</v>
          </cell>
          <cell r="DB148">
            <v>1980</v>
          </cell>
          <cell r="DC148">
            <v>90</v>
          </cell>
        </row>
        <row r="149">
          <cell r="A149">
            <v>18</v>
          </cell>
          <cell r="B149" t="str">
            <v>CO</v>
          </cell>
          <cell r="C149" t="str">
            <v>C</v>
          </cell>
          <cell r="D149" t="str">
            <v>61121-0B010</v>
          </cell>
          <cell r="E149" t="str">
            <v>PNL, COWL SIDE, RH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V149">
            <v>1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Z149">
            <v>1</v>
          </cell>
          <cell r="BA149">
            <v>1</v>
          </cell>
          <cell r="BB149">
            <v>1</v>
          </cell>
          <cell r="BC149">
            <v>1</v>
          </cell>
          <cell r="CK149">
            <v>1.5</v>
          </cell>
          <cell r="CM149">
            <v>0.55980066445182719</v>
          </cell>
          <cell r="CN149">
            <v>0</v>
          </cell>
          <cell r="CO149">
            <v>0</v>
          </cell>
          <cell r="CP149">
            <v>1485</v>
          </cell>
          <cell r="CQ149">
            <v>67.5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1485</v>
          </cell>
          <cell r="CY149">
            <v>67.5</v>
          </cell>
          <cell r="CZ149">
            <v>1042.5</v>
          </cell>
          <cell r="DA149">
            <v>47.386363636363633</v>
          </cell>
          <cell r="DB149">
            <v>2527.5</v>
          </cell>
          <cell r="DC149">
            <v>114.88636363636363</v>
          </cell>
        </row>
        <row r="150">
          <cell r="A150">
            <v>19</v>
          </cell>
          <cell r="B150" t="str">
            <v>CO</v>
          </cell>
          <cell r="C150" t="str">
            <v>C</v>
          </cell>
          <cell r="D150" t="str">
            <v>61122-0B010</v>
          </cell>
          <cell r="E150" t="str">
            <v>PNL, COWL SIDE, LH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Z150">
            <v>1</v>
          </cell>
          <cell r="BA150">
            <v>1</v>
          </cell>
          <cell r="BB150">
            <v>1</v>
          </cell>
          <cell r="BC150">
            <v>1</v>
          </cell>
          <cell r="CK150">
            <v>1.5</v>
          </cell>
          <cell r="CM150">
            <v>0.55980066445182719</v>
          </cell>
          <cell r="CN150">
            <v>0</v>
          </cell>
          <cell r="CO150">
            <v>0</v>
          </cell>
          <cell r="CP150">
            <v>1485</v>
          </cell>
          <cell r="CQ150">
            <v>67.5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1485</v>
          </cell>
          <cell r="CY150">
            <v>67.5</v>
          </cell>
          <cell r="CZ150">
            <v>1042.5</v>
          </cell>
          <cell r="DA150">
            <v>47.386363636363633</v>
          </cell>
          <cell r="DB150">
            <v>2527.5</v>
          </cell>
          <cell r="DC150">
            <v>114.88636363636363</v>
          </cell>
        </row>
        <row r="151">
          <cell r="A151">
            <v>20</v>
          </cell>
          <cell r="B151" t="str">
            <v>CO</v>
          </cell>
          <cell r="C151" t="str">
            <v>C-I</v>
          </cell>
          <cell r="D151" t="str">
            <v>61135-0B010</v>
          </cell>
          <cell r="E151" t="str">
            <v>R/F, FR BODY PILLAR, UPR OUTER RH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1</v>
          </cell>
          <cell r="V151">
            <v>1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1</v>
          </cell>
          <cell r="AZ151">
            <v>1</v>
          </cell>
          <cell r="BA151">
            <v>1</v>
          </cell>
          <cell r="BB151">
            <v>1</v>
          </cell>
          <cell r="BC151">
            <v>1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O151">
            <v>1</v>
          </cell>
          <cell r="BP151">
            <v>1</v>
          </cell>
          <cell r="BT151">
            <v>1</v>
          </cell>
          <cell r="BU151">
            <v>1</v>
          </cell>
          <cell r="BV151">
            <v>1</v>
          </cell>
          <cell r="BW151">
            <v>1</v>
          </cell>
          <cell r="BX151">
            <v>1</v>
          </cell>
          <cell r="BY151">
            <v>1</v>
          </cell>
          <cell r="BZ151">
            <v>1</v>
          </cell>
          <cell r="CA151">
            <v>1</v>
          </cell>
          <cell r="CB151">
            <v>1</v>
          </cell>
          <cell r="CC151">
            <v>1</v>
          </cell>
          <cell r="CD151">
            <v>1</v>
          </cell>
          <cell r="CE151">
            <v>1</v>
          </cell>
          <cell r="CF151">
            <v>1</v>
          </cell>
          <cell r="CG151">
            <v>1</v>
          </cell>
          <cell r="CH151">
            <v>1</v>
          </cell>
          <cell r="CI151">
            <v>1</v>
          </cell>
          <cell r="CJ151">
            <v>1</v>
          </cell>
          <cell r="CK151">
            <v>1</v>
          </cell>
          <cell r="CM151">
            <v>0.73463059642461637</v>
          </cell>
          <cell r="CN151">
            <v>470</v>
          </cell>
          <cell r="CO151">
            <v>21.363636363636363</v>
          </cell>
          <cell r="CP151">
            <v>990</v>
          </cell>
          <cell r="CQ151">
            <v>45</v>
          </cell>
          <cell r="CR151">
            <v>371.85714285714289</v>
          </cell>
          <cell r="CS151">
            <v>16.902597402597404</v>
          </cell>
          <cell r="CT151">
            <v>0</v>
          </cell>
          <cell r="CU151">
            <v>0</v>
          </cell>
          <cell r="CV151">
            <v>790</v>
          </cell>
          <cell r="CW151">
            <v>35.909090909090907</v>
          </cell>
          <cell r="CX151">
            <v>2621.8571428571431</v>
          </cell>
          <cell r="CY151">
            <v>119.17532467532467</v>
          </cell>
          <cell r="CZ151">
            <v>695</v>
          </cell>
          <cell r="DA151">
            <v>31.59090909090909</v>
          </cell>
          <cell r="DB151">
            <v>3316.8571428571431</v>
          </cell>
          <cell r="DC151">
            <v>150.76623376623377</v>
          </cell>
        </row>
        <row r="152">
          <cell r="A152">
            <v>21</v>
          </cell>
          <cell r="B152" t="str">
            <v>CO</v>
          </cell>
          <cell r="C152" t="str">
            <v>C-I</v>
          </cell>
          <cell r="D152" t="str">
            <v>61136-0B010</v>
          </cell>
          <cell r="E152" t="str">
            <v>R/F, FR BODY PILLAR, UPR OUTER LH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1</v>
          </cell>
          <cell r="AZ152">
            <v>1</v>
          </cell>
          <cell r="BA152">
            <v>1</v>
          </cell>
          <cell r="BB152">
            <v>1</v>
          </cell>
          <cell r="BC152">
            <v>1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O152">
            <v>1</v>
          </cell>
          <cell r="BP152">
            <v>1</v>
          </cell>
          <cell r="BT152">
            <v>1</v>
          </cell>
          <cell r="BU152">
            <v>1</v>
          </cell>
          <cell r="BV152">
            <v>1</v>
          </cell>
          <cell r="BW152">
            <v>1</v>
          </cell>
          <cell r="BX152">
            <v>1</v>
          </cell>
          <cell r="BY152">
            <v>1</v>
          </cell>
          <cell r="BZ152">
            <v>1</v>
          </cell>
          <cell r="CA152">
            <v>1</v>
          </cell>
          <cell r="CB152">
            <v>1</v>
          </cell>
          <cell r="CC152">
            <v>1</v>
          </cell>
          <cell r="CD152">
            <v>1</v>
          </cell>
          <cell r="CE152">
            <v>1</v>
          </cell>
          <cell r="CF152">
            <v>1</v>
          </cell>
          <cell r="CG152">
            <v>1</v>
          </cell>
          <cell r="CH152">
            <v>1</v>
          </cell>
          <cell r="CI152">
            <v>1</v>
          </cell>
          <cell r="CJ152">
            <v>1</v>
          </cell>
          <cell r="CK152">
            <v>1</v>
          </cell>
          <cell r="CM152">
            <v>0.73463059642461637</v>
          </cell>
          <cell r="CN152">
            <v>470</v>
          </cell>
          <cell r="CO152">
            <v>21.363636363636363</v>
          </cell>
          <cell r="CP152">
            <v>990</v>
          </cell>
          <cell r="CQ152">
            <v>45</v>
          </cell>
          <cell r="CR152">
            <v>371.85714285714289</v>
          </cell>
          <cell r="CS152">
            <v>16.902597402597404</v>
          </cell>
          <cell r="CT152">
            <v>0</v>
          </cell>
          <cell r="CU152">
            <v>0</v>
          </cell>
          <cell r="CV152">
            <v>790</v>
          </cell>
          <cell r="CW152">
            <v>35.909090909090907</v>
          </cell>
          <cell r="CX152">
            <v>2621.8571428571431</v>
          </cell>
          <cell r="CY152">
            <v>119.17532467532467</v>
          </cell>
          <cell r="CZ152">
            <v>695</v>
          </cell>
          <cell r="DA152">
            <v>31.59090909090909</v>
          </cell>
          <cell r="DB152">
            <v>3316.8571428571431</v>
          </cell>
          <cell r="DC152">
            <v>150.76623376623377</v>
          </cell>
        </row>
        <row r="153">
          <cell r="A153">
            <v>22</v>
          </cell>
          <cell r="B153" t="str">
            <v>CO</v>
          </cell>
          <cell r="C153" t="str">
            <v>C</v>
          </cell>
          <cell r="D153" t="str">
            <v>61211-0B010</v>
          </cell>
          <cell r="E153" t="str">
            <v>RAIL, ROOF SIDE, OUTER RH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1</v>
          </cell>
          <cell r="AZ153">
            <v>1</v>
          </cell>
          <cell r="BA153">
            <v>1</v>
          </cell>
          <cell r="BB153">
            <v>1</v>
          </cell>
          <cell r="BC153">
            <v>1</v>
          </cell>
          <cell r="BF153">
            <v>1</v>
          </cell>
          <cell r="BG153">
            <v>1</v>
          </cell>
          <cell r="BH153">
            <v>1</v>
          </cell>
          <cell r="BI153">
            <v>1</v>
          </cell>
          <cell r="BJ153">
            <v>1</v>
          </cell>
          <cell r="BK153">
            <v>1</v>
          </cell>
          <cell r="BL153">
            <v>1</v>
          </cell>
          <cell r="BM153">
            <v>1</v>
          </cell>
          <cell r="BN153">
            <v>1</v>
          </cell>
          <cell r="BO153">
            <v>1</v>
          </cell>
          <cell r="BP153">
            <v>1</v>
          </cell>
          <cell r="BT153">
            <v>1</v>
          </cell>
          <cell r="BU153">
            <v>1</v>
          </cell>
          <cell r="BV153">
            <v>1</v>
          </cell>
          <cell r="BW153">
            <v>1</v>
          </cell>
          <cell r="BX153">
            <v>1</v>
          </cell>
          <cell r="BY153">
            <v>1</v>
          </cell>
          <cell r="BZ153">
            <v>1</v>
          </cell>
          <cell r="CA153">
            <v>1</v>
          </cell>
          <cell r="CB153">
            <v>1</v>
          </cell>
          <cell r="CC153">
            <v>1</v>
          </cell>
          <cell r="CD153">
            <v>1</v>
          </cell>
          <cell r="CE153">
            <v>1</v>
          </cell>
          <cell r="CF153">
            <v>1</v>
          </cell>
          <cell r="CG153">
            <v>1</v>
          </cell>
          <cell r="CH153">
            <v>1</v>
          </cell>
          <cell r="CI153">
            <v>1</v>
          </cell>
          <cell r="CJ153">
            <v>1</v>
          </cell>
          <cell r="CK153">
            <v>2</v>
          </cell>
          <cell r="CM153">
            <v>1.5161429417629679</v>
          </cell>
          <cell r="CN153">
            <v>940</v>
          </cell>
          <cell r="CO153">
            <v>42.727272727272727</v>
          </cell>
          <cell r="CP153">
            <v>1980</v>
          </cell>
          <cell r="CQ153">
            <v>90</v>
          </cell>
          <cell r="CR153">
            <v>2345.3853820598006</v>
          </cell>
          <cell r="CS153">
            <v>106.60842645726366</v>
          </cell>
          <cell r="CT153">
            <v>0</v>
          </cell>
          <cell r="CU153">
            <v>0</v>
          </cell>
          <cell r="CV153">
            <v>1580</v>
          </cell>
          <cell r="CW153">
            <v>71.818181818181813</v>
          </cell>
          <cell r="CX153">
            <v>6845.3853820598006</v>
          </cell>
          <cell r="CY153">
            <v>311.15388100271821</v>
          </cell>
          <cell r="CZ153">
            <v>0</v>
          </cell>
          <cell r="DA153">
            <v>0</v>
          </cell>
          <cell r="DB153">
            <v>6845.3853820598006</v>
          </cell>
          <cell r="DC153">
            <v>311.15388100271821</v>
          </cell>
        </row>
        <row r="154">
          <cell r="A154">
            <v>23</v>
          </cell>
          <cell r="B154" t="str">
            <v>CO</v>
          </cell>
          <cell r="C154" t="str">
            <v>C</v>
          </cell>
          <cell r="D154" t="str">
            <v>61212-0B010</v>
          </cell>
          <cell r="E154" t="str">
            <v>RAIL ROOF SIDE OUTER LH</v>
          </cell>
          <cell r="J154">
            <v>1</v>
          </cell>
          <cell r="K154">
            <v>1</v>
          </cell>
          <cell r="L154">
            <v>1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  <cell r="BJ154">
            <v>1</v>
          </cell>
          <cell r="BK154">
            <v>1</v>
          </cell>
          <cell r="BL154">
            <v>1</v>
          </cell>
          <cell r="BM154">
            <v>1</v>
          </cell>
          <cell r="BN154">
            <v>1</v>
          </cell>
          <cell r="BO154">
            <v>1</v>
          </cell>
          <cell r="BP154">
            <v>1</v>
          </cell>
          <cell r="BT154">
            <v>1</v>
          </cell>
          <cell r="BU154">
            <v>1</v>
          </cell>
          <cell r="BV154">
            <v>1</v>
          </cell>
          <cell r="BW154">
            <v>1</v>
          </cell>
          <cell r="BX154">
            <v>1</v>
          </cell>
          <cell r="BY154">
            <v>1</v>
          </cell>
          <cell r="BZ154">
            <v>1</v>
          </cell>
          <cell r="CA154">
            <v>1</v>
          </cell>
          <cell r="CB154">
            <v>1</v>
          </cell>
          <cell r="CC154">
            <v>1</v>
          </cell>
          <cell r="CD154">
            <v>1</v>
          </cell>
          <cell r="CE154">
            <v>1</v>
          </cell>
          <cell r="CF154">
            <v>1</v>
          </cell>
          <cell r="CG154">
            <v>1</v>
          </cell>
          <cell r="CH154">
            <v>1</v>
          </cell>
          <cell r="CI154">
            <v>1</v>
          </cell>
          <cell r="CJ154">
            <v>1</v>
          </cell>
          <cell r="CK154">
            <v>2</v>
          </cell>
          <cell r="CM154">
            <v>1.5161429417629679</v>
          </cell>
          <cell r="CN154">
            <v>940</v>
          </cell>
          <cell r="CO154">
            <v>42.727272727272727</v>
          </cell>
          <cell r="CP154">
            <v>1980</v>
          </cell>
          <cell r="CQ154">
            <v>90</v>
          </cell>
          <cell r="CR154">
            <v>2345.3853820598006</v>
          </cell>
          <cell r="CS154">
            <v>106.60842645726366</v>
          </cell>
          <cell r="CT154">
            <v>0</v>
          </cell>
          <cell r="CU154">
            <v>0</v>
          </cell>
          <cell r="CV154">
            <v>1580</v>
          </cell>
          <cell r="CW154">
            <v>71.818181818181813</v>
          </cell>
          <cell r="CX154">
            <v>6845.3853820598006</v>
          </cell>
          <cell r="CY154">
            <v>311.15388100271821</v>
          </cell>
          <cell r="CZ154">
            <v>0</v>
          </cell>
          <cell r="DA154">
            <v>0</v>
          </cell>
          <cell r="DB154">
            <v>6845.3853820598006</v>
          </cell>
          <cell r="DC154">
            <v>311.15388100271821</v>
          </cell>
        </row>
        <row r="155">
          <cell r="A155">
            <v>24</v>
          </cell>
          <cell r="B155" t="str">
            <v>CO</v>
          </cell>
          <cell r="C155" t="str">
            <v>C</v>
          </cell>
          <cell r="D155" t="str">
            <v>61411-0B020</v>
          </cell>
          <cell r="E155" t="str">
            <v>PNL ROCKER OUTER RH (LONG)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AB155">
            <v>1</v>
          </cell>
          <cell r="AC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CK155">
            <v>1.5</v>
          </cell>
          <cell r="CM155">
            <v>0.32890365448504982</v>
          </cell>
          <cell r="CN155">
            <v>0</v>
          </cell>
          <cell r="CO155">
            <v>0</v>
          </cell>
          <cell r="CP155">
            <v>1485</v>
          </cell>
          <cell r="CQ155">
            <v>67.5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1485</v>
          </cell>
          <cell r="CY155">
            <v>67.5</v>
          </cell>
          <cell r="CZ155">
            <v>0</v>
          </cell>
          <cell r="DA155">
            <v>0</v>
          </cell>
          <cell r="DB155">
            <v>1485</v>
          </cell>
          <cell r="DC155">
            <v>67.5</v>
          </cell>
        </row>
        <row r="156">
          <cell r="A156">
            <v>25</v>
          </cell>
          <cell r="B156" t="str">
            <v>CO</v>
          </cell>
          <cell r="C156" t="str">
            <v>C</v>
          </cell>
          <cell r="D156" t="str">
            <v>61411-0B030</v>
          </cell>
          <cell r="E156" t="str">
            <v>PNL ROCKER OUTER RH (LONG)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1</v>
          </cell>
          <cell r="CG156">
            <v>1</v>
          </cell>
          <cell r="CI156">
            <v>1</v>
          </cell>
          <cell r="CK156">
            <v>1.5</v>
          </cell>
          <cell r="CM156">
            <v>0.2292358803986711</v>
          </cell>
          <cell r="CN156">
            <v>705</v>
          </cell>
          <cell r="CO156">
            <v>32.045454545454547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330</v>
          </cell>
          <cell r="CW156">
            <v>15</v>
          </cell>
          <cell r="CX156">
            <v>1035</v>
          </cell>
          <cell r="CY156">
            <v>47.045454545454547</v>
          </cell>
          <cell r="CZ156">
            <v>0</v>
          </cell>
          <cell r="DA156">
            <v>0</v>
          </cell>
          <cell r="DB156">
            <v>1035</v>
          </cell>
          <cell r="DC156">
            <v>47.045454545454547</v>
          </cell>
        </row>
        <row r="157">
          <cell r="A157">
            <v>26</v>
          </cell>
          <cell r="B157" t="str">
            <v>CO</v>
          </cell>
          <cell r="C157" t="str">
            <v>C</v>
          </cell>
          <cell r="D157" t="str">
            <v>61411-0B040</v>
          </cell>
          <cell r="E157" t="str">
            <v xml:space="preserve">PNL ROCKER OUTER RH 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H157">
            <v>1</v>
          </cell>
          <cell r="CJ157">
            <v>1</v>
          </cell>
          <cell r="CK157">
            <v>1.5</v>
          </cell>
          <cell r="CM157">
            <v>0.18936877076411959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855</v>
          </cell>
          <cell r="CW157">
            <v>38.863636363636367</v>
          </cell>
          <cell r="CX157">
            <v>855</v>
          </cell>
          <cell r="CY157">
            <v>38.863636363636367</v>
          </cell>
          <cell r="CZ157">
            <v>0</v>
          </cell>
          <cell r="DA157">
            <v>0</v>
          </cell>
          <cell r="DB157">
            <v>855</v>
          </cell>
          <cell r="DC157">
            <v>38.863636363636367</v>
          </cell>
        </row>
        <row r="158">
          <cell r="A158">
            <v>27</v>
          </cell>
          <cell r="B158" t="str">
            <v>CO</v>
          </cell>
          <cell r="C158" t="str">
            <v>C</v>
          </cell>
          <cell r="D158" t="str">
            <v>61412-0B020</v>
          </cell>
          <cell r="E158" t="str">
            <v>PNL ROCKER OUTER LH (LONG)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AB158">
            <v>1</v>
          </cell>
          <cell r="AC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CK158">
            <v>1.5</v>
          </cell>
          <cell r="CM158">
            <v>0.32890365448504982</v>
          </cell>
          <cell r="CN158">
            <v>0</v>
          </cell>
          <cell r="CO158">
            <v>0</v>
          </cell>
          <cell r="CP158">
            <v>1485</v>
          </cell>
          <cell r="CQ158">
            <v>67.5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1485</v>
          </cell>
          <cell r="CY158">
            <v>67.5</v>
          </cell>
          <cell r="CZ158">
            <v>0</v>
          </cell>
          <cell r="DA158">
            <v>0</v>
          </cell>
          <cell r="DB158">
            <v>1485</v>
          </cell>
          <cell r="DC158">
            <v>67.5</v>
          </cell>
        </row>
        <row r="159">
          <cell r="A159">
            <v>28</v>
          </cell>
          <cell r="B159" t="str">
            <v>CO</v>
          </cell>
          <cell r="C159" t="str">
            <v>C</v>
          </cell>
          <cell r="D159" t="str">
            <v>61412-0B030</v>
          </cell>
          <cell r="E159" t="str">
            <v>PNL ROCKER OUTER LH (LONG)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1</v>
          </cell>
          <cell r="BT159">
            <v>1</v>
          </cell>
          <cell r="CF159">
            <v>1</v>
          </cell>
          <cell r="CG159">
            <v>1</v>
          </cell>
          <cell r="CH159">
            <v>1</v>
          </cell>
          <cell r="CI159">
            <v>1</v>
          </cell>
          <cell r="CK159">
            <v>1.5</v>
          </cell>
          <cell r="CM159">
            <v>0.32890365448504982</v>
          </cell>
          <cell r="CN159">
            <v>705</v>
          </cell>
          <cell r="CO159">
            <v>32.045454545454547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780</v>
          </cell>
          <cell r="CW159">
            <v>35.454545454545453</v>
          </cell>
          <cell r="CX159">
            <v>1485</v>
          </cell>
          <cell r="CY159">
            <v>67.5</v>
          </cell>
          <cell r="CZ159">
            <v>0</v>
          </cell>
          <cell r="DA159">
            <v>0</v>
          </cell>
          <cell r="DB159">
            <v>1485</v>
          </cell>
          <cell r="DC159">
            <v>67.5</v>
          </cell>
        </row>
        <row r="160">
          <cell r="A160">
            <v>29</v>
          </cell>
          <cell r="B160" t="str">
            <v>CO</v>
          </cell>
          <cell r="C160" t="str">
            <v>C</v>
          </cell>
          <cell r="D160" t="str">
            <v>61412-0B040</v>
          </cell>
          <cell r="E160" t="str">
            <v>PNL ROCKER OUTER LH (LONG)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J160">
            <v>1</v>
          </cell>
          <cell r="CK160">
            <v>1.5</v>
          </cell>
          <cell r="CM160">
            <v>8.9700996677740868E-2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405</v>
          </cell>
          <cell r="CW160">
            <v>18.40909090909091</v>
          </cell>
          <cell r="CX160">
            <v>405</v>
          </cell>
          <cell r="CY160">
            <v>18.40909090909091</v>
          </cell>
          <cell r="CZ160">
            <v>0</v>
          </cell>
          <cell r="DA160">
            <v>0</v>
          </cell>
          <cell r="DB160">
            <v>405</v>
          </cell>
          <cell r="DC160">
            <v>18.40909090909091</v>
          </cell>
        </row>
        <row r="161">
          <cell r="A161">
            <v>30</v>
          </cell>
          <cell r="B161" t="str">
            <v>CO</v>
          </cell>
          <cell r="C161" t="str">
            <v>C</v>
          </cell>
          <cell r="D161" t="str">
            <v>61531-0B010</v>
          </cell>
          <cell r="E161" t="str">
            <v>PANEL, CAB RR PILLAR, INNER UPR RH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BE161">
            <v>1</v>
          </cell>
          <cell r="CK161">
            <v>1.5</v>
          </cell>
          <cell r="CM161">
            <v>0.29644761095352146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295.96096345514945</v>
          </cell>
          <cell r="CS161">
            <v>13.452771066143157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295.96096345514945</v>
          </cell>
          <cell r="CY161">
            <v>13.452771066143157</v>
          </cell>
          <cell r="CZ161">
            <v>1042.5</v>
          </cell>
          <cell r="DA161">
            <v>47.386363636363633</v>
          </cell>
          <cell r="DB161">
            <v>1338.4609634551493</v>
          </cell>
          <cell r="DC161">
            <v>60.83913470250679</v>
          </cell>
        </row>
        <row r="162">
          <cell r="A162">
            <v>31</v>
          </cell>
          <cell r="B162" t="str">
            <v>CO</v>
          </cell>
          <cell r="C162" t="str">
            <v>C</v>
          </cell>
          <cell r="D162" t="str">
            <v>61532-0B010</v>
          </cell>
          <cell r="E162" t="str">
            <v>PANEL, CAB RR PILLAR, INNER UPR LH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V162">
            <v>1</v>
          </cell>
          <cell r="W162">
            <v>1</v>
          </cell>
          <cell r="X162">
            <v>1</v>
          </cell>
          <cell r="Y162">
            <v>1</v>
          </cell>
          <cell r="BE162">
            <v>1</v>
          </cell>
          <cell r="CK162">
            <v>1.5</v>
          </cell>
          <cell r="CM162">
            <v>0.29644761095352146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295.96096345514945</v>
          </cell>
          <cell r="CS162">
            <v>13.452771066143157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295.96096345514945</v>
          </cell>
          <cell r="CY162">
            <v>13.452771066143157</v>
          </cell>
          <cell r="CZ162">
            <v>1042.5</v>
          </cell>
          <cell r="DA162">
            <v>47.386363636363633</v>
          </cell>
          <cell r="DB162">
            <v>1338.4609634551493</v>
          </cell>
          <cell r="DC162">
            <v>60.83913470250679</v>
          </cell>
        </row>
        <row r="163">
          <cell r="A163">
            <v>32</v>
          </cell>
          <cell r="B163" t="str">
            <v>CO</v>
          </cell>
          <cell r="C163" t="str">
            <v>C</v>
          </cell>
          <cell r="D163" t="str">
            <v>61619-0B010</v>
          </cell>
          <cell r="E163" t="str">
            <v>R/F QUATER PNL RH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1</v>
          </cell>
          <cell r="AZ163">
            <v>1</v>
          </cell>
          <cell r="BA163">
            <v>1</v>
          </cell>
          <cell r="BB163">
            <v>1</v>
          </cell>
          <cell r="BC163">
            <v>1</v>
          </cell>
          <cell r="BF163">
            <v>1</v>
          </cell>
          <cell r="BG163">
            <v>1</v>
          </cell>
          <cell r="BH163">
            <v>1</v>
          </cell>
          <cell r="BI163">
            <v>1</v>
          </cell>
          <cell r="BJ163">
            <v>1</v>
          </cell>
          <cell r="BK163">
            <v>1</v>
          </cell>
          <cell r="BL163">
            <v>1</v>
          </cell>
          <cell r="BM163">
            <v>1</v>
          </cell>
          <cell r="BN163">
            <v>1</v>
          </cell>
          <cell r="BO163">
            <v>1</v>
          </cell>
          <cell r="BP163">
            <v>1</v>
          </cell>
          <cell r="BT163">
            <v>1</v>
          </cell>
          <cell r="BU163">
            <v>1</v>
          </cell>
          <cell r="BV163">
            <v>1</v>
          </cell>
          <cell r="BW163">
            <v>1</v>
          </cell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B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  <cell r="CG163">
            <v>1</v>
          </cell>
          <cell r="CH163">
            <v>1</v>
          </cell>
          <cell r="CI163">
            <v>1</v>
          </cell>
          <cell r="CJ163">
            <v>1</v>
          </cell>
          <cell r="CK163">
            <v>1</v>
          </cell>
          <cell r="CM163">
            <v>0.75807147088148397</v>
          </cell>
          <cell r="CN163">
            <v>470</v>
          </cell>
          <cell r="CO163">
            <v>21.363636363636363</v>
          </cell>
          <cell r="CP163">
            <v>990</v>
          </cell>
          <cell r="CQ163">
            <v>45</v>
          </cell>
          <cell r="CR163">
            <v>1172.6926910299003</v>
          </cell>
          <cell r="CS163">
            <v>53.304213228631831</v>
          </cell>
          <cell r="CT163">
            <v>0</v>
          </cell>
          <cell r="CU163">
            <v>0</v>
          </cell>
          <cell r="CV163">
            <v>790</v>
          </cell>
          <cell r="CW163">
            <v>35.909090909090907</v>
          </cell>
          <cell r="CX163">
            <v>3422.6926910299003</v>
          </cell>
          <cell r="CY163">
            <v>155.5769405013591</v>
          </cell>
          <cell r="CZ163">
            <v>0</v>
          </cell>
          <cell r="DA163">
            <v>0</v>
          </cell>
          <cell r="DB163">
            <v>3422.6926910299003</v>
          </cell>
          <cell r="DC163">
            <v>155.5769405013591</v>
          </cell>
        </row>
        <row r="164">
          <cell r="A164">
            <v>33</v>
          </cell>
          <cell r="B164" t="str">
            <v>CO</v>
          </cell>
          <cell r="C164" t="str">
            <v>C</v>
          </cell>
          <cell r="D164" t="str">
            <v>61629-0B010</v>
          </cell>
          <cell r="E164" t="str">
            <v>R/F QUATER PNL LH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1</v>
          </cell>
          <cell r="AZ164">
            <v>1</v>
          </cell>
          <cell r="BA164">
            <v>1</v>
          </cell>
          <cell r="BB164">
            <v>1</v>
          </cell>
          <cell r="BC164">
            <v>1</v>
          </cell>
          <cell r="BF164">
            <v>1</v>
          </cell>
          <cell r="BG164">
            <v>1</v>
          </cell>
          <cell r="BH164">
            <v>1</v>
          </cell>
          <cell r="BI164">
            <v>1</v>
          </cell>
          <cell r="BJ164">
            <v>1</v>
          </cell>
          <cell r="BK164">
            <v>1</v>
          </cell>
          <cell r="BL164">
            <v>1</v>
          </cell>
          <cell r="BM164">
            <v>1</v>
          </cell>
          <cell r="BN164">
            <v>1</v>
          </cell>
          <cell r="BO164">
            <v>1</v>
          </cell>
          <cell r="BP164">
            <v>1</v>
          </cell>
          <cell r="BT164">
            <v>1</v>
          </cell>
          <cell r="BU164">
            <v>1</v>
          </cell>
          <cell r="BV164">
            <v>1</v>
          </cell>
          <cell r="BW164">
            <v>1</v>
          </cell>
          <cell r="BX164">
            <v>1</v>
          </cell>
          <cell r="BY164">
            <v>1</v>
          </cell>
          <cell r="BZ164">
            <v>1</v>
          </cell>
          <cell r="CA164">
            <v>1</v>
          </cell>
          <cell r="CB164">
            <v>1</v>
          </cell>
          <cell r="CC164">
            <v>1</v>
          </cell>
          <cell r="CD164">
            <v>1</v>
          </cell>
          <cell r="CE164">
            <v>1</v>
          </cell>
          <cell r="CF164">
            <v>1</v>
          </cell>
          <cell r="CG164">
            <v>1</v>
          </cell>
          <cell r="CH164">
            <v>1</v>
          </cell>
          <cell r="CI164">
            <v>1</v>
          </cell>
          <cell r="CJ164">
            <v>1</v>
          </cell>
          <cell r="CK164">
            <v>1</v>
          </cell>
          <cell r="CM164">
            <v>0.75807147088148397</v>
          </cell>
          <cell r="CN164">
            <v>470</v>
          </cell>
          <cell r="CO164">
            <v>21.363636363636363</v>
          </cell>
          <cell r="CP164">
            <v>990</v>
          </cell>
          <cell r="CQ164">
            <v>45</v>
          </cell>
          <cell r="CR164">
            <v>1172.6926910299003</v>
          </cell>
          <cell r="CS164">
            <v>53.304213228631831</v>
          </cell>
          <cell r="CT164">
            <v>0</v>
          </cell>
          <cell r="CU164">
            <v>0</v>
          </cell>
          <cell r="CV164">
            <v>790</v>
          </cell>
          <cell r="CW164">
            <v>35.909090909090907</v>
          </cell>
          <cell r="CX164">
            <v>3422.6926910299003</v>
          </cell>
          <cell r="CY164">
            <v>155.5769405013591</v>
          </cell>
          <cell r="CZ164">
            <v>0</v>
          </cell>
          <cell r="DA164">
            <v>0</v>
          </cell>
          <cell r="DB164">
            <v>3422.6926910299003</v>
          </cell>
          <cell r="DC164">
            <v>155.5769405013591</v>
          </cell>
        </row>
        <row r="165">
          <cell r="A165">
            <v>34</v>
          </cell>
          <cell r="B165" t="str">
            <v>CO</v>
          </cell>
          <cell r="C165" t="str">
            <v>B4-I</v>
          </cell>
          <cell r="D165" t="str">
            <v>61631-0B010</v>
          </cell>
          <cell r="E165" t="str">
            <v>PANEL, QTR WHEEL HOUSE, OUTER RH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Z165">
            <v>1</v>
          </cell>
          <cell r="BA165">
            <v>1</v>
          </cell>
          <cell r="BB165">
            <v>1</v>
          </cell>
          <cell r="BC165">
            <v>1</v>
          </cell>
          <cell r="CK165">
            <v>1</v>
          </cell>
          <cell r="CL165">
            <v>1</v>
          </cell>
          <cell r="CM165">
            <v>0.21926910299003322</v>
          </cell>
          <cell r="CN165">
            <v>0</v>
          </cell>
          <cell r="CO165">
            <v>0</v>
          </cell>
          <cell r="CP165">
            <v>990</v>
          </cell>
          <cell r="CQ165">
            <v>45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990</v>
          </cell>
          <cell r="CY165">
            <v>45</v>
          </cell>
          <cell r="CZ165">
            <v>0</v>
          </cell>
          <cell r="DA165">
            <v>0</v>
          </cell>
          <cell r="DB165">
            <v>990</v>
          </cell>
          <cell r="DC165">
            <v>45</v>
          </cell>
        </row>
        <row r="166">
          <cell r="A166">
            <v>35</v>
          </cell>
          <cell r="B166" t="str">
            <v>CO</v>
          </cell>
          <cell r="C166" t="str">
            <v>B4-I</v>
          </cell>
          <cell r="D166" t="str">
            <v>61631-0B020</v>
          </cell>
          <cell r="E166" t="str">
            <v>PANEL, QTR WHEEL HOUSE, OUTER RH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O166">
            <v>1</v>
          </cell>
          <cell r="BP166">
            <v>1</v>
          </cell>
          <cell r="CK166">
            <v>1</v>
          </cell>
          <cell r="CL166">
            <v>1</v>
          </cell>
          <cell r="CM166">
            <v>0.1864578389495333</v>
          </cell>
          <cell r="CN166">
            <v>470</v>
          </cell>
          <cell r="CO166">
            <v>21.363636363636363</v>
          </cell>
          <cell r="CP166">
            <v>0</v>
          </cell>
          <cell r="CQ166">
            <v>0</v>
          </cell>
          <cell r="CR166">
            <v>371.85714285714289</v>
          </cell>
          <cell r="CS166">
            <v>16.902597402597404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841.85714285714289</v>
          </cell>
          <cell r="CY166">
            <v>38.266233766233768</v>
          </cell>
          <cell r="CZ166">
            <v>0</v>
          </cell>
          <cell r="DA166">
            <v>0</v>
          </cell>
          <cell r="DB166">
            <v>841.85714285714289</v>
          </cell>
          <cell r="DC166">
            <v>38.266233766233768</v>
          </cell>
        </row>
        <row r="167">
          <cell r="A167">
            <v>36</v>
          </cell>
          <cell r="B167" t="str">
            <v>CO</v>
          </cell>
          <cell r="C167" t="str">
            <v>B4-I</v>
          </cell>
          <cell r="D167" t="str">
            <v>61632-0B010</v>
          </cell>
          <cell r="E167" t="str">
            <v>PANEL, QTR WHEEL HOUSE, OUTER LH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CK167">
            <v>1</v>
          </cell>
          <cell r="CL167">
            <v>1</v>
          </cell>
          <cell r="CM167">
            <v>0.21926910299003322</v>
          </cell>
          <cell r="CN167">
            <v>0</v>
          </cell>
          <cell r="CO167">
            <v>0</v>
          </cell>
          <cell r="CP167">
            <v>990</v>
          </cell>
          <cell r="CQ167">
            <v>45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990</v>
          </cell>
          <cell r="CY167">
            <v>45</v>
          </cell>
          <cell r="CZ167">
            <v>0</v>
          </cell>
          <cell r="DA167">
            <v>0</v>
          </cell>
          <cell r="DB167">
            <v>990</v>
          </cell>
          <cell r="DC167">
            <v>45</v>
          </cell>
        </row>
        <row r="168">
          <cell r="A168">
            <v>37</v>
          </cell>
          <cell r="B168" t="str">
            <v>CO</v>
          </cell>
          <cell r="C168" t="str">
            <v>B4-I</v>
          </cell>
          <cell r="D168" t="str">
            <v>61632-0B020</v>
          </cell>
          <cell r="E168" t="str">
            <v>PANEL, QTR WHEEL HOUSE, OUTER LH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1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O168">
            <v>1</v>
          </cell>
          <cell r="BP168">
            <v>1</v>
          </cell>
          <cell r="CK168">
            <v>1</v>
          </cell>
          <cell r="CL168">
            <v>1</v>
          </cell>
          <cell r="CM168">
            <v>0.1864578389495333</v>
          </cell>
          <cell r="CN168">
            <v>470</v>
          </cell>
          <cell r="CO168">
            <v>21.363636363636363</v>
          </cell>
          <cell r="CP168">
            <v>0</v>
          </cell>
          <cell r="CQ168">
            <v>0</v>
          </cell>
          <cell r="CR168">
            <v>371.85714285714289</v>
          </cell>
          <cell r="CS168">
            <v>16.902597402597404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841.85714285714289</v>
          </cell>
          <cell r="CY168">
            <v>38.266233766233768</v>
          </cell>
          <cell r="CZ168">
            <v>0</v>
          </cell>
          <cell r="DA168">
            <v>0</v>
          </cell>
          <cell r="DB168">
            <v>841.85714285714289</v>
          </cell>
          <cell r="DC168">
            <v>38.266233766233768</v>
          </cell>
        </row>
        <row r="169">
          <cell r="A169">
            <v>38</v>
          </cell>
          <cell r="B169" t="str">
            <v>CO</v>
          </cell>
          <cell r="C169" t="str">
            <v>E</v>
          </cell>
          <cell r="D169" t="str">
            <v>61725-YZC10</v>
          </cell>
          <cell r="E169" t="str">
            <v>BOX, FUEL INLET</v>
          </cell>
          <cell r="F169">
            <v>1</v>
          </cell>
          <cell r="H169">
            <v>1</v>
          </cell>
          <cell r="CK169">
            <v>3</v>
          </cell>
          <cell r="CM169">
            <v>0.46179401993355484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2085</v>
          </cell>
          <cell r="DA169">
            <v>94.772727272727266</v>
          </cell>
          <cell r="DB169">
            <v>2085</v>
          </cell>
          <cell r="DC169">
            <v>94.772727272727266</v>
          </cell>
        </row>
        <row r="170">
          <cell r="A170">
            <v>39</v>
          </cell>
          <cell r="B170" t="str">
            <v>CO</v>
          </cell>
          <cell r="C170" t="str">
            <v>C</v>
          </cell>
          <cell r="D170" t="str">
            <v>61733-0B020.40</v>
          </cell>
          <cell r="E170" t="str">
            <v>PNL, ROOF SIDE, INNER FR RH (LONG)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AB170">
            <v>1</v>
          </cell>
          <cell r="AC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N170">
            <v>1</v>
          </cell>
          <cell r="BT170">
            <v>1</v>
          </cell>
          <cell r="BU170">
            <v>1</v>
          </cell>
          <cell r="BV170">
            <v>1</v>
          </cell>
          <cell r="BW170">
            <v>1</v>
          </cell>
          <cell r="BX170">
            <v>1</v>
          </cell>
          <cell r="BY170">
            <v>1</v>
          </cell>
          <cell r="BZ170">
            <v>1</v>
          </cell>
          <cell r="CA170">
            <v>1</v>
          </cell>
          <cell r="CB170">
            <v>1</v>
          </cell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  <cell r="CH170">
            <v>1</v>
          </cell>
          <cell r="CI170">
            <v>1</v>
          </cell>
          <cell r="CJ170">
            <v>1</v>
          </cell>
          <cell r="CK170">
            <v>1</v>
          </cell>
          <cell r="CM170">
            <v>0.48611715102482311</v>
          </cell>
          <cell r="CN170">
            <v>380</v>
          </cell>
          <cell r="CO170">
            <v>17.272727272727273</v>
          </cell>
          <cell r="CP170">
            <v>990</v>
          </cell>
          <cell r="CQ170">
            <v>45</v>
          </cell>
          <cell r="CR170">
            <v>34.81893687707641</v>
          </cell>
          <cell r="CS170">
            <v>1.5826789489580186</v>
          </cell>
          <cell r="CT170">
            <v>0</v>
          </cell>
          <cell r="CU170">
            <v>0</v>
          </cell>
          <cell r="CV170">
            <v>790</v>
          </cell>
          <cell r="CW170">
            <v>35.909090909090907</v>
          </cell>
          <cell r="CX170">
            <v>2194.8189368770763</v>
          </cell>
          <cell r="CY170">
            <v>99.764497130776192</v>
          </cell>
          <cell r="CZ170">
            <v>0</v>
          </cell>
          <cell r="DA170">
            <v>0</v>
          </cell>
          <cell r="DB170">
            <v>2194.8189368770763</v>
          </cell>
          <cell r="DC170">
            <v>99.764497130776192</v>
          </cell>
        </row>
        <row r="171">
          <cell r="A171">
            <v>40</v>
          </cell>
          <cell r="B171" t="str">
            <v>CO</v>
          </cell>
          <cell r="C171" t="str">
            <v>C</v>
          </cell>
          <cell r="D171" t="str">
            <v>61734-0B020.40</v>
          </cell>
          <cell r="E171" t="str">
            <v>PNL, ROOF SIDE, INNER FR LH (LONG)</v>
          </cell>
          <cell r="O171">
            <v>1</v>
          </cell>
          <cell r="P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AB171">
            <v>1</v>
          </cell>
          <cell r="AC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1</v>
          </cell>
          <cell r="AZ171">
            <v>1</v>
          </cell>
          <cell r="BA171">
            <v>1</v>
          </cell>
          <cell r="BB171">
            <v>1</v>
          </cell>
          <cell r="BC171">
            <v>1</v>
          </cell>
          <cell r="BN171">
            <v>1</v>
          </cell>
          <cell r="BT171">
            <v>1</v>
          </cell>
          <cell r="BU171">
            <v>1</v>
          </cell>
          <cell r="BV171">
            <v>1</v>
          </cell>
          <cell r="BW171">
            <v>1</v>
          </cell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  <cell r="CH171">
            <v>1</v>
          </cell>
          <cell r="CI171">
            <v>1</v>
          </cell>
          <cell r="CJ171">
            <v>1</v>
          </cell>
          <cell r="CK171">
            <v>1</v>
          </cell>
          <cell r="CM171">
            <v>0.48611715102482311</v>
          </cell>
          <cell r="CN171">
            <v>380</v>
          </cell>
          <cell r="CO171">
            <v>17.272727272727273</v>
          </cell>
          <cell r="CP171">
            <v>990</v>
          </cell>
          <cell r="CQ171">
            <v>45</v>
          </cell>
          <cell r="CR171">
            <v>34.81893687707641</v>
          </cell>
          <cell r="CS171">
            <v>1.5826789489580186</v>
          </cell>
          <cell r="CT171">
            <v>0</v>
          </cell>
          <cell r="CU171">
            <v>0</v>
          </cell>
          <cell r="CV171">
            <v>790</v>
          </cell>
          <cell r="CW171">
            <v>35.909090909090907</v>
          </cell>
          <cell r="CX171">
            <v>2194.8189368770763</v>
          </cell>
          <cell r="CY171">
            <v>99.764497130776192</v>
          </cell>
          <cell r="CZ171">
            <v>0</v>
          </cell>
          <cell r="DA171">
            <v>0</v>
          </cell>
          <cell r="DB171">
            <v>2194.8189368770763</v>
          </cell>
          <cell r="DC171">
            <v>99.764497130776192</v>
          </cell>
        </row>
        <row r="172">
          <cell r="A172">
            <v>41</v>
          </cell>
          <cell r="B172" t="str">
            <v>CO</v>
          </cell>
          <cell r="C172" t="str">
            <v>C</v>
          </cell>
          <cell r="D172" t="str">
            <v>61737-0B010</v>
          </cell>
          <cell r="E172" t="str">
            <v>PANEL, ROOF SIDE INNER LWR, RH</v>
          </cell>
          <cell r="J172">
            <v>1</v>
          </cell>
          <cell r="K172">
            <v>1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M172">
            <v>0.49833887043189368</v>
          </cell>
          <cell r="CN172">
            <v>470</v>
          </cell>
          <cell r="CO172">
            <v>21.363636363636363</v>
          </cell>
          <cell r="CP172">
            <v>990</v>
          </cell>
          <cell r="CQ172">
            <v>45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790</v>
          </cell>
          <cell r="CW172">
            <v>35.909090909090907</v>
          </cell>
          <cell r="CX172">
            <v>2250</v>
          </cell>
          <cell r="CY172">
            <v>102.27272727272727</v>
          </cell>
          <cell r="CZ172">
            <v>0</v>
          </cell>
          <cell r="DA172">
            <v>0</v>
          </cell>
          <cell r="DB172">
            <v>2250</v>
          </cell>
          <cell r="DC172">
            <v>102.27272727272727</v>
          </cell>
        </row>
        <row r="173">
          <cell r="A173">
            <v>42</v>
          </cell>
          <cell r="B173" t="str">
            <v>CO</v>
          </cell>
          <cell r="C173" t="str">
            <v>C</v>
          </cell>
          <cell r="D173" t="str">
            <v>61738-0B010</v>
          </cell>
          <cell r="E173" t="str">
            <v>PANEL, ROOF SIDE, INNER LWR LH</v>
          </cell>
          <cell r="J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1</v>
          </cell>
          <cell r="AZ173">
            <v>1</v>
          </cell>
          <cell r="BA173">
            <v>1</v>
          </cell>
          <cell r="BB173">
            <v>1</v>
          </cell>
          <cell r="BC173">
            <v>1</v>
          </cell>
          <cell r="BT173">
            <v>1</v>
          </cell>
          <cell r="BU173">
            <v>1</v>
          </cell>
          <cell r="BV173">
            <v>1</v>
          </cell>
          <cell r="BW173">
            <v>1</v>
          </cell>
          <cell r="BX173">
            <v>1</v>
          </cell>
          <cell r="BY173">
            <v>1</v>
          </cell>
          <cell r="BZ173">
            <v>1</v>
          </cell>
          <cell r="CA173">
            <v>1</v>
          </cell>
          <cell r="CB173">
            <v>1</v>
          </cell>
          <cell r="CC173">
            <v>1</v>
          </cell>
          <cell r="CD173">
            <v>1</v>
          </cell>
          <cell r="CE173">
            <v>1</v>
          </cell>
          <cell r="CF173">
            <v>1</v>
          </cell>
          <cell r="CG173">
            <v>1</v>
          </cell>
          <cell r="CH173">
            <v>1</v>
          </cell>
          <cell r="CI173">
            <v>1</v>
          </cell>
          <cell r="CJ173">
            <v>1</v>
          </cell>
          <cell r="CK173">
            <v>1</v>
          </cell>
          <cell r="CM173">
            <v>0.49833887043189368</v>
          </cell>
          <cell r="CN173">
            <v>470</v>
          </cell>
          <cell r="CO173">
            <v>21.363636363636363</v>
          </cell>
          <cell r="CP173">
            <v>990</v>
          </cell>
          <cell r="CQ173">
            <v>45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790</v>
          </cell>
          <cell r="CW173">
            <v>35.909090909090907</v>
          </cell>
          <cell r="CX173">
            <v>2250</v>
          </cell>
          <cell r="CY173">
            <v>102.27272727272727</v>
          </cell>
          <cell r="CZ173">
            <v>0</v>
          </cell>
          <cell r="DA173">
            <v>0</v>
          </cell>
          <cell r="DB173">
            <v>2250</v>
          </cell>
          <cell r="DC173">
            <v>102.27272727272727</v>
          </cell>
        </row>
        <row r="174">
          <cell r="A174">
            <v>43</v>
          </cell>
          <cell r="B174" t="str">
            <v>CO</v>
          </cell>
          <cell r="C174" t="str">
            <v>C</v>
          </cell>
          <cell r="D174" t="str">
            <v>65313-YZC10</v>
          </cell>
          <cell r="E174" t="str">
            <v>PNL,FLOOR FR CORNER RH</v>
          </cell>
          <cell r="F174">
            <v>1</v>
          </cell>
          <cell r="H174">
            <v>1</v>
          </cell>
          <cell r="CK174">
            <v>0.75</v>
          </cell>
          <cell r="CM174">
            <v>0.11544850498338871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521.25</v>
          </cell>
          <cell r="DA174">
            <v>23.693181818181817</v>
          </cell>
          <cell r="DB174">
            <v>521.25</v>
          </cell>
          <cell r="DC174">
            <v>23.693181818181817</v>
          </cell>
        </row>
        <row r="175">
          <cell r="A175">
            <v>44</v>
          </cell>
          <cell r="B175" t="str">
            <v>CO</v>
          </cell>
          <cell r="C175" t="str">
            <v>C</v>
          </cell>
          <cell r="D175" t="str">
            <v>65314-YZC10</v>
          </cell>
          <cell r="E175" t="str">
            <v>PNL FLOOR FR CORNER LH</v>
          </cell>
          <cell r="F175">
            <v>1</v>
          </cell>
          <cell r="H175">
            <v>1</v>
          </cell>
          <cell r="CK175">
            <v>0.75</v>
          </cell>
          <cell r="CM175">
            <v>0.11544850498338871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521.25</v>
          </cell>
          <cell r="DA175">
            <v>23.693181818181817</v>
          </cell>
          <cell r="DB175">
            <v>521.25</v>
          </cell>
          <cell r="DC175">
            <v>23.693181818181817</v>
          </cell>
        </row>
        <row r="176">
          <cell r="A176">
            <v>45</v>
          </cell>
          <cell r="B176" t="str">
            <v>CO</v>
          </cell>
          <cell r="C176" t="str">
            <v>C</v>
          </cell>
          <cell r="D176" t="str">
            <v>65315-YZC10</v>
          </cell>
          <cell r="E176" t="str">
            <v>PNL, FLOOR FR CORNER, RH</v>
          </cell>
          <cell r="F176">
            <v>1</v>
          </cell>
          <cell r="H176">
            <v>1</v>
          </cell>
          <cell r="CK176">
            <v>0.75</v>
          </cell>
          <cell r="CM176">
            <v>0.11544850498338871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521.25</v>
          </cell>
          <cell r="DA176">
            <v>23.693181818181817</v>
          </cell>
          <cell r="DB176">
            <v>521.25</v>
          </cell>
          <cell r="DC176">
            <v>23.693181818181817</v>
          </cell>
        </row>
        <row r="177">
          <cell r="A177">
            <v>46</v>
          </cell>
          <cell r="B177" t="str">
            <v>CO</v>
          </cell>
          <cell r="C177" t="str">
            <v>C</v>
          </cell>
          <cell r="D177" t="str">
            <v>65316-YZC10</v>
          </cell>
          <cell r="E177" t="str">
            <v>PNL, FLOOR RR CORNER, LH</v>
          </cell>
          <cell r="F177">
            <v>1</v>
          </cell>
          <cell r="H177">
            <v>1</v>
          </cell>
          <cell r="CK177">
            <v>0.75</v>
          </cell>
          <cell r="CM177">
            <v>0.11544850498338871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521.25</v>
          </cell>
          <cell r="DA177">
            <v>23.693181818181817</v>
          </cell>
          <cell r="DB177">
            <v>521.25</v>
          </cell>
          <cell r="DC177">
            <v>23.693181818181817</v>
          </cell>
        </row>
        <row r="178">
          <cell r="A178">
            <v>47</v>
          </cell>
          <cell r="B178" t="str">
            <v>CO</v>
          </cell>
          <cell r="C178" t="str">
            <v>C</v>
          </cell>
          <cell r="D178" t="str">
            <v>65551-YZC10</v>
          </cell>
          <cell r="E178" t="str">
            <v>POST, SIDE PNL FR END, RH</v>
          </cell>
          <cell r="F178">
            <v>1</v>
          </cell>
          <cell r="H178">
            <v>1</v>
          </cell>
          <cell r="CK178">
            <v>1.5</v>
          </cell>
          <cell r="CM178">
            <v>0.23089700996677742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1042.5</v>
          </cell>
          <cell r="DA178">
            <v>47.386363636363633</v>
          </cell>
          <cell r="DB178">
            <v>1042.5</v>
          </cell>
          <cell r="DC178">
            <v>47.386363636363633</v>
          </cell>
        </row>
        <row r="179">
          <cell r="A179">
            <v>48</v>
          </cell>
          <cell r="B179" t="str">
            <v>CO</v>
          </cell>
          <cell r="C179" t="str">
            <v>C</v>
          </cell>
          <cell r="D179" t="str">
            <v>65552-YZC10</v>
          </cell>
          <cell r="E179" t="str">
            <v>POST, SIDE PNL FR END, LH</v>
          </cell>
          <cell r="F179">
            <v>1</v>
          </cell>
          <cell r="H179">
            <v>1</v>
          </cell>
          <cell r="CK179">
            <v>1.5</v>
          </cell>
          <cell r="CM179">
            <v>0.23089700996677742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1042.5</v>
          </cell>
          <cell r="DA179">
            <v>47.386363636363633</v>
          </cell>
          <cell r="DB179">
            <v>1042.5</v>
          </cell>
          <cell r="DC179">
            <v>47.386363636363633</v>
          </cell>
        </row>
        <row r="180">
          <cell r="A180">
            <v>49</v>
          </cell>
          <cell r="B180" t="str">
            <v>CO</v>
          </cell>
          <cell r="C180" t="str">
            <v>C-B</v>
          </cell>
          <cell r="D180" t="str">
            <v>65631-YZC10</v>
          </cell>
          <cell r="E180" t="str">
            <v>PNL, WHEEL HOUSE RH</v>
          </cell>
          <cell r="F180">
            <v>2</v>
          </cell>
          <cell r="H180">
            <v>2</v>
          </cell>
          <cell r="CK180">
            <v>2</v>
          </cell>
          <cell r="CM180">
            <v>0.61572535991140642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2780</v>
          </cell>
          <cell r="DA180">
            <v>126.36363636363636</v>
          </cell>
          <cell r="DB180">
            <v>2780</v>
          </cell>
          <cell r="DC180">
            <v>126.36363636363636</v>
          </cell>
        </row>
        <row r="181">
          <cell r="A181">
            <v>50</v>
          </cell>
          <cell r="B181" t="str">
            <v>CO</v>
          </cell>
          <cell r="C181" t="str">
            <v>C</v>
          </cell>
          <cell r="D181" t="str">
            <v>67385-0B020</v>
          </cell>
          <cell r="E181" t="str">
            <v>RETAINER BACK DOOR WINDOW WIPER SHAFT</v>
          </cell>
          <cell r="L181">
            <v>1</v>
          </cell>
          <cell r="M181">
            <v>1</v>
          </cell>
          <cell r="Q181">
            <v>1</v>
          </cell>
          <cell r="R181">
            <v>1</v>
          </cell>
          <cell r="U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M181">
            <v>1</v>
          </cell>
          <cell r="AN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CK181">
            <v>1</v>
          </cell>
          <cell r="CM181">
            <v>0.28128460686600221</v>
          </cell>
          <cell r="CN181">
            <v>280</v>
          </cell>
          <cell r="CO181">
            <v>12.727272727272727</v>
          </cell>
          <cell r="CP181">
            <v>990</v>
          </cell>
          <cell r="CQ181">
            <v>45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1270</v>
          </cell>
          <cell r="CY181">
            <v>57.727272727272727</v>
          </cell>
          <cell r="CZ181">
            <v>0</v>
          </cell>
          <cell r="DA181">
            <v>0</v>
          </cell>
          <cell r="DB181">
            <v>1270</v>
          </cell>
          <cell r="DC181">
            <v>57.727272727272727</v>
          </cell>
        </row>
        <row r="182">
          <cell r="A182">
            <v>51</v>
          </cell>
          <cell r="B182" t="str">
            <v>CO</v>
          </cell>
          <cell r="C182" t="str">
            <v>C</v>
          </cell>
          <cell r="D182" t="str">
            <v>76647-0B010.20</v>
          </cell>
          <cell r="E182" t="str">
            <v>SUPPORT,RR BODY MUDRURD RH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0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H182">
            <v>1</v>
          </cell>
          <cell r="AI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N182">
            <v>1</v>
          </cell>
          <cell r="BQ182">
            <v>1</v>
          </cell>
          <cell r="BR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M182">
            <v>0.70715481433243921</v>
          </cell>
          <cell r="CN182">
            <v>470</v>
          </cell>
          <cell r="CO182">
            <v>21.363636363636363</v>
          </cell>
          <cell r="CP182">
            <v>990</v>
          </cell>
          <cell r="CQ182">
            <v>45</v>
          </cell>
          <cell r="CR182">
            <v>742.80398671096339</v>
          </cell>
          <cell r="CS182">
            <v>33.763817577771064</v>
          </cell>
          <cell r="CT182">
            <v>200</v>
          </cell>
          <cell r="CU182">
            <v>9.0909090909090917</v>
          </cell>
          <cell r="CV182">
            <v>790</v>
          </cell>
          <cell r="CW182">
            <v>35.909090909090907</v>
          </cell>
          <cell r="CX182">
            <v>3192.8039867109633</v>
          </cell>
          <cell r="CY182">
            <v>145.12745394140742</v>
          </cell>
          <cell r="CZ182">
            <v>0</v>
          </cell>
          <cell r="DA182">
            <v>0</v>
          </cell>
          <cell r="DB182">
            <v>3192.8039867109633</v>
          </cell>
          <cell r="DC182">
            <v>145.12745394140742</v>
          </cell>
        </row>
        <row r="183">
          <cell r="A183">
            <v>52</v>
          </cell>
          <cell r="B183" t="str">
            <v>CO</v>
          </cell>
          <cell r="C183" t="str">
            <v>C</v>
          </cell>
          <cell r="D183" t="str">
            <v>76648-0B010.20</v>
          </cell>
          <cell r="E183" t="str">
            <v>SUPPORT RR BODY MUDGURD LH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0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H183">
            <v>1</v>
          </cell>
          <cell r="AI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N183">
            <v>1</v>
          </cell>
          <cell r="BQ183">
            <v>1</v>
          </cell>
          <cell r="BR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M183">
            <v>0.70715481433243921</v>
          </cell>
          <cell r="CN183">
            <v>470</v>
          </cell>
          <cell r="CO183">
            <v>21.363636363636363</v>
          </cell>
          <cell r="CP183">
            <v>990</v>
          </cell>
          <cell r="CQ183">
            <v>45</v>
          </cell>
          <cell r="CR183">
            <v>742.80398671096339</v>
          </cell>
          <cell r="CS183">
            <v>33.763817577771064</v>
          </cell>
          <cell r="CT183">
            <v>200</v>
          </cell>
          <cell r="CU183">
            <v>9.0909090909090917</v>
          </cell>
          <cell r="CV183">
            <v>790</v>
          </cell>
          <cell r="CW183">
            <v>35.909090909090907</v>
          </cell>
          <cell r="CX183">
            <v>3192.8039867109633</v>
          </cell>
          <cell r="CY183">
            <v>145.12745394140742</v>
          </cell>
          <cell r="CZ183">
            <v>0</v>
          </cell>
          <cell r="DA183">
            <v>0</v>
          </cell>
          <cell r="DB183">
            <v>3192.8039867109633</v>
          </cell>
          <cell r="DC183">
            <v>145.12745394140742</v>
          </cell>
        </row>
        <row r="184">
          <cell r="A184">
            <v>53</v>
          </cell>
          <cell r="B184" t="str">
            <v>CO</v>
          </cell>
          <cell r="C184" t="str">
            <v>C</v>
          </cell>
          <cell r="D184" t="str">
            <v>76655-0B010</v>
          </cell>
          <cell r="E184" t="str">
            <v>EXT RR BODY MUDGUARD RH</v>
          </cell>
          <cell r="L184">
            <v>1</v>
          </cell>
          <cell r="M184">
            <v>1</v>
          </cell>
          <cell r="Q184">
            <v>1</v>
          </cell>
          <cell r="R184">
            <v>1</v>
          </cell>
          <cell r="U184">
            <v>1</v>
          </cell>
          <cell r="Z184">
            <v>1</v>
          </cell>
          <cell r="AA184">
            <v>1</v>
          </cell>
          <cell r="AB184">
            <v>1</v>
          </cell>
          <cell r="AD184">
            <v>1</v>
          </cell>
          <cell r="AE184">
            <v>1</v>
          </cell>
          <cell r="AF184">
            <v>1</v>
          </cell>
          <cell r="AH184">
            <v>1</v>
          </cell>
          <cell r="AI184">
            <v>1</v>
          </cell>
          <cell r="AM184">
            <v>1</v>
          </cell>
          <cell r="AN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1</v>
          </cell>
          <cell r="AZ184">
            <v>1</v>
          </cell>
          <cell r="BA184">
            <v>1</v>
          </cell>
          <cell r="BB184">
            <v>1</v>
          </cell>
          <cell r="BC184">
            <v>1</v>
          </cell>
          <cell r="BG184">
            <v>1</v>
          </cell>
          <cell r="BH184">
            <v>1</v>
          </cell>
          <cell r="BI184">
            <v>1</v>
          </cell>
          <cell r="BJ184">
            <v>1</v>
          </cell>
          <cell r="BN184">
            <v>1</v>
          </cell>
          <cell r="BQ184">
            <v>1</v>
          </cell>
          <cell r="BR184">
            <v>1</v>
          </cell>
          <cell r="BX184">
            <v>1</v>
          </cell>
          <cell r="BY184">
            <v>1</v>
          </cell>
          <cell r="BZ184">
            <v>1</v>
          </cell>
          <cell r="CA184">
            <v>1</v>
          </cell>
          <cell r="CD184">
            <v>1</v>
          </cell>
          <cell r="CE184">
            <v>1</v>
          </cell>
          <cell r="CJ184">
            <v>1</v>
          </cell>
          <cell r="CK184">
            <v>1.5</v>
          </cell>
          <cell r="CM184">
            <v>0.76172889923952269</v>
          </cell>
          <cell r="CN184">
            <v>420</v>
          </cell>
          <cell r="CO184">
            <v>19.09090909090909</v>
          </cell>
          <cell r="CP184">
            <v>1485</v>
          </cell>
          <cell r="CQ184">
            <v>67.5</v>
          </cell>
          <cell r="CR184">
            <v>1114.2059800664451</v>
          </cell>
          <cell r="CS184">
            <v>50.645726366656596</v>
          </cell>
          <cell r="CT184">
            <v>300</v>
          </cell>
          <cell r="CU184">
            <v>13.636363636363637</v>
          </cell>
          <cell r="CV184">
            <v>120</v>
          </cell>
          <cell r="CW184">
            <v>5.4545454545454541</v>
          </cell>
          <cell r="CX184">
            <v>3439.2059800664451</v>
          </cell>
          <cell r="CY184">
            <v>156.32754454847478</v>
          </cell>
          <cell r="CZ184">
            <v>0</v>
          </cell>
          <cell r="DA184">
            <v>0</v>
          </cell>
          <cell r="DB184">
            <v>3439.2059800664451</v>
          </cell>
          <cell r="DC184">
            <v>156.32754454847478</v>
          </cell>
        </row>
        <row r="185">
          <cell r="A185">
            <v>54</v>
          </cell>
          <cell r="B185" t="str">
            <v>CO</v>
          </cell>
          <cell r="C185" t="str">
            <v>C</v>
          </cell>
          <cell r="D185" t="str">
            <v>76656-0B010</v>
          </cell>
          <cell r="E185" t="str">
            <v>EXT RR BODY MUDGUARD LH</v>
          </cell>
          <cell r="L185">
            <v>1</v>
          </cell>
          <cell r="M185">
            <v>1</v>
          </cell>
          <cell r="Q185">
            <v>1</v>
          </cell>
          <cell r="R185">
            <v>1</v>
          </cell>
          <cell r="U185">
            <v>1</v>
          </cell>
          <cell r="Z185">
            <v>1</v>
          </cell>
          <cell r="AA185">
            <v>1</v>
          </cell>
          <cell r="AB185">
            <v>1</v>
          </cell>
          <cell r="AD185">
            <v>1</v>
          </cell>
          <cell r="AE185">
            <v>1</v>
          </cell>
          <cell r="AF185">
            <v>1</v>
          </cell>
          <cell r="AH185">
            <v>1</v>
          </cell>
          <cell r="AI185">
            <v>1</v>
          </cell>
          <cell r="AM185">
            <v>1</v>
          </cell>
          <cell r="AN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Z185">
            <v>1</v>
          </cell>
          <cell r="BA185">
            <v>1</v>
          </cell>
          <cell r="BB185">
            <v>1</v>
          </cell>
          <cell r="BC185">
            <v>1</v>
          </cell>
          <cell r="BG185">
            <v>1</v>
          </cell>
          <cell r="BH185">
            <v>1</v>
          </cell>
          <cell r="BI185">
            <v>1</v>
          </cell>
          <cell r="BJ185">
            <v>1</v>
          </cell>
          <cell r="BN185">
            <v>1</v>
          </cell>
          <cell r="BQ185">
            <v>1</v>
          </cell>
          <cell r="BR185">
            <v>1</v>
          </cell>
          <cell r="BX185">
            <v>1</v>
          </cell>
          <cell r="BY185">
            <v>1</v>
          </cell>
          <cell r="BZ185">
            <v>1</v>
          </cell>
          <cell r="CA185">
            <v>1</v>
          </cell>
          <cell r="CD185">
            <v>1</v>
          </cell>
          <cell r="CE185">
            <v>1</v>
          </cell>
          <cell r="CJ185">
            <v>1</v>
          </cell>
          <cell r="CK185">
            <v>1.5</v>
          </cell>
          <cell r="CM185">
            <v>0.76172889923952269</v>
          </cell>
          <cell r="CN185">
            <v>420</v>
          </cell>
          <cell r="CO185">
            <v>19.09090909090909</v>
          </cell>
          <cell r="CP185">
            <v>1485</v>
          </cell>
          <cell r="CQ185">
            <v>67.5</v>
          </cell>
          <cell r="CR185">
            <v>1114.2059800664451</v>
          </cell>
          <cell r="CS185">
            <v>50.645726366656596</v>
          </cell>
          <cell r="CT185">
            <v>300</v>
          </cell>
          <cell r="CU185">
            <v>13.636363636363637</v>
          </cell>
          <cell r="CV185">
            <v>120</v>
          </cell>
          <cell r="CW185">
            <v>5.4545454545454541</v>
          </cell>
          <cell r="CX185">
            <v>3439.2059800664451</v>
          </cell>
          <cell r="CY185">
            <v>156.32754454847478</v>
          </cell>
          <cell r="CZ185">
            <v>0</v>
          </cell>
          <cell r="DA185">
            <v>0</v>
          </cell>
          <cell r="DB185">
            <v>3439.2059800664451</v>
          </cell>
          <cell r="DC185">
            <v>156.32754454847478</v>
          </cell>
        </row>
        <row r="186">
          <cell r="B186" t="str">
            <v>C</v>
          </cell>
          <cell r="C186" t="str">
            <v>C</v>
          </cell>
          <cell r="D186" t="str">
            <v>58151-0B050</v>
          </cell>
          <cell r="E186" t="str">
            <v>INSULATOR FLOOR HEAT NO.1</v>
          </cell>
          <cell r="AD186">
            <v>1</v>
          </cell>
          <cell r="AE186">
            <v>1</v>
          </cell>
          <cell r="CL186">
            <v>1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</row>
        <row r="187">
          <cell r="B187" t="str">
            <v>C2345 1423/4</v>
          </cell>
          <cell r="C187" t="str">
            <v>C</v>
          </cell>
          <cell r="D187" t="str">
            <v>52141-0B010</v>
          </cell>
          <cell r="E187" t="str">
            <v>STAY, FR BUMPER RH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CL187">
            <v>1.5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</row>
        <row r="188">
          <cell r="B188" t="str">
            <v>C2345 1423/4</v>
          </cell>
          <cell r="C188" t="str">
            <v>C</v>
          </cell>
          <cell r="D188" t="str">
            <v>52142-0B010</v>
          </cell>
          <cell r="E188" t="str">
            <v>STAY FR BUMPER LH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CL188">
            <v>1.5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</row>
        <row r="189">
          <cell r="B189" t="str">
            <v>C3</v>
          </cell>
          <cell r="C189" t="str">
            <v>C</v>
          </cell>
          <cell r="D189" t="str">
            <v>59363-0B060</v>
          </cell>
          <cell r="E189" t="str">
            <v>RETAINER, RR SEAT, NO.1 C</v>
          </cell>
          <cell r="F189" t="str">
            <v/>
          </cell>
          <cell r="H189" t="str">
            <v/>
          </cell>
          <cell r="J189">
            <v>2</v>
          </cell>
          <cell r="K189">
            <v>2</v>
          </cell>
          <cell r="L189">
            <v>2</v>
          </cell>
          <cell r="M189">
            <v>2</v>
          </cell>
          <cell r="N189">
            <v>2</v>
          </cell>
          <cell r="P189" t="str">
            <v/>
          </cell>
          <cell r="R189" t="str">
            <v/>
          </cell>
          <cell r="T189" t="str">
            <v/>
          </cell>
          <cell r="V189">
            <v>2</v>
          </cell>
          <cell r="W189">
            <v>2</v>
          </cell>
          <cell r="X189" t="str">
            <v/>
          </cell>
          <cell r="Z189" t="str">
            <v/>
          </cell>
          <cell r="AB189" t="str">
            <v/>
          </cell>
          <cell r="AD189">
            <v>2</v>
          </cell>
          <cell r="AE189">
            <v>2</v>
          </cell>
          <cell r="AF189" t="str">
            <v/>
          </cell>
          <cell r="AH189" t="str">
            <v/>
          </cell>
          <cell r="AJ189" t="str">
            <v/>
          </cell>
          <cell r="AL189" t="str">
            <v/>
          </cell>
          <cell r="AN189" t="str">
            <v/>
          </cell>
          <cell r="CL189">
            <v>1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</row>
        <row r="190">
          <cell r="B190" t="str">
            <v>C3</v>
          </cell>
          <cell r="C190" t="str">
            <v>C</v>
          </cell>
          <cell r="D190" t="str">
            <v>58151-0B040</v>
          </cell>
          <cell r="E190" t="str">
            <v>INSULATOR FLOOR HEAT NO.1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CL190">
            <v>1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</row>
        <row r="191">
          <cell r="B191" t="str">
            <v>C3</v>
          </cell>
          <cell r="C191" t="str">
            <v>E</v>
          </cell>
          <cell r="D191" t="str">
            <v>58156-0B030</v>
          </cell>
          <cell r="E191" t="str">
            <v>INSULATOR FR FLOOR HEAT NO. 1</v>
          </cell>
          <cell r="K191">
            <v>1</v>
          </cell>
          <cell r="L191">
            <v>1</v>
          </cell>
          <cell r="M191">
            <v>1</v>
          </cell>
          <cell r="V191">
            <v>1</v>
          </cell>
          <cell r="Z191">
            <v>1</v>
          </cell>
          <cell r="AB191">
            <v>1</v>
          </cell>
          <cell r="CL191">
            <v>1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</row>
        <row r="192">
          <cell r="B192" t="str">
            <v>C345 312/3</v>
          </cell>
          <cell r="C192" t="str">
            <v>C</v>
          </cell>
          <cell r="D192" t="str">
            <v>61411-0B010</v>
          </cell>
          <cell r="E192" t="str">
            <v>PNL ROCKER OUTER RH (SHORT)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Z192">
            <v>1</v>
          </cell>
          <cell r="AA192">
            <v>1</v>
          </cell>
          <cell r="AD192">
            <v>1</v>
          </cell>
          <cell r="AE192">
            <v>1</v>
          </cell>
          <cell r="CL192">
            <v>1.5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</row>
        <row r="193">
          <cell r="B193" t="str">
            <v>C345 312/3</v>
          </cell>
          <cell r="C193" t="str">
            <v>C</v>
          </cell>
          <cell r="D193" t="str">
            <v>61412-0B010</v>
          </cell>
          <cell r="E193" t="str">
            <v>PNL ROCKER OUTER LH (SHORT)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Z193">
            <v>1</v>
          </cell>
          <cell r="AA193">
            <v>1</v>
          </cell>
          <cell r="AD193">
            <v>1</v>
          </cell>
          <cell r="AE193">
            <v>1</v>
          </cell>
          <cell r="CL193">
            <v>1.5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</row>
        <row r="194">
          <cell r="B194" t="str">
            <v>C45</v>
          </cell>
          <cell r="C194" t="str">
            <v>C</v>
          </cell>
          <cell r="D194" t="str">
            <v>61733-0B010</v>
          </cell>
          <cell r="E194" t="str">
            <v>PNL, ROOF SIDE, INNER FR RH (SHORT)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Z194">
            <v>1</v>
          </cell>
          <cell r="AA194">
            <v>1</v>
          </cell>
          <cell r="AD194">
            <v>1</v>
          </cell>
          <cell r="AE194">
            <v>1</v>
          </cell>
          <cell r="CL194">
            <v>1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</row>
        <row r="195">
          <cell r="B195" t="str">
            <v>C45</v>
          </cell>
          <cell r="C195" t="str">
            <v>C</v>
          </cell>
          <cell r="D195" t="str">
            <v>61733-0B040</v>
          </cell>
          <cell r="E195" t="str">
            <v>PNL, ROOF SIDE, INNER FR LH (SHORT)</v>
          </cell>
          <cell r="BT195">
            <v>0</v>
          </cell>
          <cell r="CF195">
            <v>0</v>
          </cell>
          <cell r="CH195">
            <v>0</v>
          </cell>
          <cell r="CL195">
            <v>1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</row>
        <row r="196">
          <cell r="B196" t="str">
            <v>C45</v>
          </cell>
          <cell r="C196" t="str">
            <v>C</v>
          </cell>
          <cell r="D196" t="str">
            <v>61734-0B010</v>
          </cell>
          <cell r="E196" t="str">
            <v>PNL, ROOF SIDE, INNER FR LH (SHORT)</v>
          </cell>
          <cell r="J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Z196">
            <v>1</v>
          </cell>
          <cell r="AA196">
            <v>1</v>
          </cell>
          <cell r="AD196">
            <v>1</v>
          </cell>
          <cell r="AE196">
            <v>1</v>
          </cell>
          <cell r="CL196">
            <v>1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</row>
        <row r="197">
          <cell r="B197" t="str">
            <v>C45</v>
          </cell>
          <cell r="C197" t="str">
            <v>C</v>
          </cell>
          <cell r="D197" t="str">
            <v>61734-0B040</v>
          </cell>
          <cell r="E197" t="str">
            <v>PNL, ROOF SIDE, INNER FR LH (LONG)</v>
          </cell>
          <cell r="BT197">
            <v>0</v>
          </cell>
          <cell r="CF197">
            <v>0</v>
          </cell>
          <cell r="CH197">
            <v>0</v>
          </cell>
          <cell r="CL197">
            <v>1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</row>
        <row r="198">
          <cell r="B198" t="str">
            <v>C45</v>
          </cell>
          <cell r="C198" t="str">
            <v>C</v>
          </cell>
          <cell r="D198" t="str">
            <v>76647-0B020</v>
          </cell>
          <cell r="E198" t="str">
            <v>SUPPORT,RR BODY MUDRURD RH</v>
          </cell>
          <cell r="L198">
            <v>0</v>
          </cell>
          <cell r="M198">
            <v>0</v>
          </cell>
          <cell r="Q198">
            <v>0</v>
          </cell>
          <cell r="R198">
            <v>0</v>
          </cell>
          <cell r="Z198">
            <v>0</v>
          </cell>
          <cell r="AA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H198">
            <v>0</v>
          </cell>
          <cell r="AI198">
            <v>0</v>
          </cell>
          <cell r="BQ198">
            <v>0</v>
          </cell>
          <cell r="BR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D198">
            <v>0</v>
          </cell>
          <cell r="CE198">
            <v>0</v>
          </cell>
          <cell r="CJ198">
            <v>0</v>
          </cell>
          <cell r="CL198">
            <v>1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</row>
        <row r="199">
          <cell r="B199" t="str">
            <v>C45</v>
          </cell>
          <cell r="C199" t="str">
            <v>C</v>
          </cell>
          <cell r="D199" t="str">
            <v>76648-0B020</v>
          </cell>
          <cell r="E199" t="str">
            <v>SUPPORT RR BODY MUDGURD LH</v>
          </cell>
          <cell r="L199">
            <v>0</v>
          </cell>
          <cell r="M199">
            <v>0</v>
          </cell>
          <cell r="Q199">
            <v>0</v>
          </cell>
          <cell r="R199">
            <v>0</v>
          </cell>
          <cell r="Z199">
            <v>0</v>
          </cell>
          <cell r="AA199">
            <v>0</v>
          </cell>
          <cell r="AB199">
            <v>0</v>
          </cell>
          <cell r="AD199">
            <v>0</v>
          </cell>
          <cell r="AE199">
            <v>0</v>
          </cell>
          <cell r="AF199">
            <v>0</v>
          </cell>
          <cell r="AH199">
            <v>0</v>
          </cell>
          <cell r="AI199">
            <v>0</v>
          </cell>
          <cell r="BQ199">
            <v>0</v>
          </cell>
          <cell r="BR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D199">
            <v>0</v>
          </cell>
          <cell r="CE199">
            <v>0</v>
          </cell>
          <cell r="CJ199">
            <v>0</v>
          </cell>
          <cell r="CL199">
            <v>1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</row>
        <row r="202">
          <cell r="CK202">
            <v>78</v>
          </cell>
          <cell r="CM202">
            <v>30.50276634179902</v>
          </cell>
        </row>
        <row r="203">
          <cell r="CZ203" t="e">
            <v>#REF!</v>
          </cell>
        </row>
        <row r="204">
          <cell r="D204" t="str">
            <v>LOADING  C =</v>
          </cell>
          <cell r="F204" t="str">
            <v>DOM =</v>
          </cell>
          <cell r="G204">
            <v>1.0135492302376758</v>
          </cell>
          <cell r="H204" t="str">
            <v>PHIL =</v>
          </cell>
          <cell r="I204">
            <v>0.40998217468805709</v>
          </cell>
          <cell r="J204" t="str">
            <v>MAL =</v>
          </cell>
          <cell r="K204">
            <v>1.5502367701837598</v>
          </cell>
          <cell r="L204" t="str">
            <v>TAI=</v>
          </cell>
          <cell r="M204">
            <v>0.64538550621094093</v>
          </cell>
          <cell r="N204" t="str">
            <v>VIET=</v>
          </cell>
          <cell r="O204">
            <v>0.10234009037018613</v>
          </cell>
          <cell r="CK204" t="str">
            <v>SA =</v>
          </cell>
          <cell r="CL204">
            <v>0.66653008983720363</v>
          </cell>
        </row>
        <row r="205">
          <cell r="D205" t="str">
            <v>TOT.  LOADING  C =</v>
          </cell>
          <cell r="F205">
            <v>7.4205550558237228</v>
          </cell>
          <cell r="H205" t="str">
            <v>HOURS</v>
          </cell>
          <cell r="L205" t="str">
            <v>BY =</v>
          </cell>
          <cell r="M205">
            <v>3.0325311942958995</v>
          </cell>
          <cell r="CO205" t="str">
            <v>AFC =</v>
          </cell>
          <cell r="CP205" t="e">
            <v>#REF!</v>
          </cell>
        </row>
        <row r="208">
          <cell r="A208" t="str">
            <v>LINE C1 - 150 T</v>
          </cell>
        </row>
        <row r="210">
          <cell r="A210">
            <v>1</v>
          </cell>
          <cell r="B210" t="str">
            <v>CO</v>
          </cell>
          <cell r="C210" t="str">
            <v>C1</v>
          </cell>
          <cell r="D210" t="str">
            <v>51361-0B010</v>
          </cell>
          <cell r="E210" t="str">
            <v>GUSSET CROSSMEMBER NO6</v>
          </cell>
          <cell r="F210">
            <v>2</v>
          </cell>
          <cell r="G210">
            <v>2</v>
          </cell>
          <cell r="H210">
            <v>2</v>
          </cell>
          <cell r="I210">
            <v>2</v>
          </cell>
          <cell r="J210">
            <v>2</v>
          </cell>
          <cell r="K210">
            <v>2</v>
          </cell>
          <cell r="L210">
            <v>2</v>
          </cell>
          <cell r="M210">
            <v>2</v>
          </cell>
          <cell r="N210">
            <v>2</v>
          </cell>
          <cell r="O210">
            <v>2</v>
          </cell>
          <cell r="P210">
            <v>2</v>
          </cell>
          <cell r="Q210">
            <v>2</v>
          </cell>
          <cell r="R210">
            <v>2</v>
          </cell>
          <cell r="S210">
            <v>2</v>
          </cell>
          <cell r="T210">
            <v>2</v>
          </cell>
          <cell r="U210">
            <v>2</v>
          </cell>
          <cell r="V210">
            <v>2</v>
          </cell>
          <cell r="W210">
            <v>2</v>
          </cell>
          <cell r="X210">
            <v>2</v>
          </cell>
          <cell r="Y210">
            <v>2</v>
          </cell>
          <cell r="Z210">
            <v>2</v>
          </cell>
          <cell r="AA210">
            <v>2</v>
          </cell>
          <cell r="AB210">
            <v>2</v>
          </cell>
          <cell r="AC210">
            <v>2</v>
          </cell>
          <cell r="AD210">
            <v>2</v>
          </cell>
          <cell r="AE210">
            <v>2</v>
          </cell>
          <cell r="AF210">
            <v>2</v>
          </cell>
          <cell r="AG210">
            <v>2</v>
          </cell>
          <cell r="AH210">
            <v>2</v>
          </cell>
          <cell r="AI210">
            <v>2</v>
          </cell>
          <cell r="AZ210">
            <v>2</v>
          </cell>
          <cell r="BA210">
            <v>2</v>
          </cell>
          <cell r="BB210">
            <v>2</v>
          </cell>
          <cell r="BC210">
            <v>2</v>
          </cell>
          <cell r="BE210">
            <v>2</v>
          </cell>
          <cell r="BF210">
            <v>2</v>
          </cell>
          <cell r="BG210">
            <v>2</v>
          </cell>
          <cell r="BH210">
            <v>2</v>
          </cell>
          <cell r="BI210">
            <v>2</v>
          </cell>
          <cell r="BJ210">
            <v>2</v>
          </cell>
          <cell r="BK210">
            <v>2</v>
          </cell>
          <cell r="BL210">
            <v>2</v>
          </cell>
          <cell r="BM210">
            <v>2</v>
          </cell>
          <cell r="BN210">
            <v>2</v>
          </cell>
          <cell r="BQ210">
            <v>2</v>
          </cell>
          <cell r="BR210">
            <v>2</v>
          </cell>
          <cell r="BT210">
            <v>2</v>
          </cell>
          <cell r="BU210">
            <v>2</v>
          </cell>
          <cell r="BV210">
            <v>2</v>
          </cell>
          <cell r="BW210">
            <v>2</v>
          </cell>
          <cell r="BX210">
            <v>2</v>
          </cell>
          <cell r="BY210">
            <v>2</v>
          </cell>
          <cell r="BZ210">
            <v>2</v>
          </cell>
          <cell r="CA210">
            <v>2</v>
          </cell>
          <cell r="CB210">
            <v>2</v>
          </cell>
          <cell r="CC210">
            <v>2</v>
          </cell>
          <cell r="CD210">
            <v>2</v>
          </cell>
          <cell r="CE210">
            <v>2</v>
          </cell>
          <cell r="CF210">
            <v>2</v>
          </cell>
          <cell r="CG210">
            <v>2</v>
          </cell>
          <cell r="CH210">
            <v>2</v>
          </cell>
          <cell r="CI210">
            <v>2</v>
          </cell>
          <cell r="CJ210">
            <v>2</v>
          </cell>
          <cell r="CK210">
            <v>1</v>
          </cell>
          <cell r="CL210">
            <v>2</v>
          </cell>
          <cell r="CM210">
            <v>1.6270843221009332</v>
          </cell>
          <cell r="CN210">
            <v>0</v>
          </cell>
          <cell r="CO210">
            <v>0</v>
          </cell>
          <cell r="CP210">
            <v>1980</v>
          </cell>
          <cell r="CQ210">
            <v>90</v>
          </cell>
          <cell r="CR210">
            <v>1996.285714285714</v>
          </cell>
          <cell r="CS210">
            <v>90.740259740259731</v>
          </cell>
          <cell r="CT210">
            <v>400</v>
          </cell>
          <cell r="CU210">
            <v>18.181818181818183</v>
          </cell>
          <cell r="CV210">
            <v>1580</v>
          </cell>
          <cell r="CW210">
            <v>71.818181818181813</v>
          </cell>
          <cell r="CX210">
            <v>5956.2857142857138</v>
          </cell>
          <cell r="CY210">
            <v>270.74025974025972</v>
          </cell>
          <cell r="CZ210">
            <v>1390</v>
          </cell>
          <cell r="DA210">
            <v>63.18181818181818</v>
          </cell>
          <cell r="DB210">
            <v>7346.2857142857138</v>
          </cell>
          <cell r="DC210">
            <v>333.9220779220779</v>
          </cell>
        </row>
        <row r="211">
          <cell r="A211">
            <v>2</v>
          </cell>
          <cell r="B211" t="str">
            <v>CO</v>
          </cell>
          <cell r="C211" t="str">
            <v>C1</v>
          </cell>
          <cell r="D211" t="str">
            <v>51363-0B010</v>
          </cell>
          <cell r="E211" t="str">
            <v>GUSSET CROSSMEMBER NO6</v>
          </cell>
          <cell r="F211">
            <v>2</v>
          </cell>
          <cell r="G211">
            <v>2</v>
          </cell>
          <cell r="H211">
            <v>2</v>
          </cell>
          <cell r="I211">
            <v>2</v>
          </cell>
          <cell r="BE211">
            <v>2</v>
          </cell>
          <cell r="CK211">
            <v>1</v>
          </cell>
          <cell r="CM211">
            <v>0.39526348127136196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394.61461794019925</v>
          </cell>
          <cell r="CS211">
            <v>17.937028088190875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394.61461794019925</v>
          </cell>
          <cell r="CY211">
            <v>17.937028088190875</v>
          </cell>
          <cell r="CZ211">
            <v>1390</v>
          </cell>
          <cell r="DA211">
            <v>63.18181818181818</v>
          </cell>
          <cell r="DB211">
            <v>1784.6146179401992</v>
          </cell>
          <cell r="DC211">
            <v>81.118846270009058</v>
          </cell>
        </row>
        <row r="212">
          <cell r="A212">
            <v>3</v>
          </cell>
          <cell r="B212" t="str">
            <v>CO</v>
          </cell>
          <cell r="C212" t="str">
            <v>C1</v>
          </cell>
          <cell r="D212" t="str">
            <v>51611-0B010</v>
          </cell>
          <cell r="E212" t="str">
            <v>STOPPER FR SUSPENSION BOUND</v>
          </cell>
          <cell r="F212">
            <v>2</v>
          </cell>
          <cell r="G212">
            <v>2</v>
          </cell>
          <cell r="H212">
            <v>2</v>
          </cell>
          <cell r="I212">
            <v>2</v>
          </cell>
          <cell r="J212">
            <v>2</v>
          </cell>
          <cell r="K212">
            <v>2</v>
          </cell>
          <cell r="L212">
            <v>2</v>
          </cell>
          <cell r="M212">
            <v>2</v>
          </cell>
          <cell r="N212">
            <v>2</v>
          </cell>
          <cell r="O212">
            <v>2</v>
          </cell>
          <cell r="P212">
            <v>2</v>
          </cell>
          <cell r="Q212">
            <v>2</v>
          </cell>
          <cell r="R212">
            <v>2</v>
          </cell>
          <cell r="S212">
            <v>2</v>
          </cell>
          <cell r="T212">
            <v>2</v>
          </cell>
          <cell r="U212">
            <v>2</v>
          </cell>
          <cell r="V212">
            <v>2</v>
          </cell>
          <cell r="W212">
            <v>2</v>
          </cell>
          <cell r="X212">
            <v>2</v>
          </cell>
          <cell r="Y212">
            <v>2</v>
          </cell>
          <cell r="Z212">
            <v>2</v>
          </cell>
          <cell r="AA212">
            <v>2</v>
          </cell>
          <cell r="AB212">
            <v>2</v>
          </cell>
          <cell r="AC212">
            <v>2</v>
          </cell>
          <cell r="AD212">
            <v>2</v>
          </cell>
          <cell r="AE212">
            <v>2</v>
          </cell>
          <cell r="AF212">
            <v>2</v>
          </cell>
          <cell r="AG212">
            <v>2</v>
          </cell>
          <cell r="AH212">
            <v>2</v>
          </cell>
          <cell r="AI212">
            <v>2</v>
          </cell>
          <cell r="AK212">
            <v>2</v>
          </cell>
          <cell r="AL212">
            <v>2</v>
          </cell>
          <cell r="AM212">
            <v>2</v>
          </cell>
          <cell r="AN212">
            <v>2</v>
          </cell>
          <cell r="AO212">
            <v>2</v>
          </cell>
          <cell r="AP212">
            <v>2</v>
          </cell>
          <cell r="AQ212">
            <v>2</v>
          </cell>
          <cell r="AR212">
            <v>2</v>
          </cell>
          <cell r="AS212">
            <v>2</v>
          </cell>
          <cell r="AT212">
            <v>2</v>
          </cell>
          <cell r="AU212">
            <v>2</v>
          </cell>
          <cell r="AV212">
            <v>2</v>
          </cell>
          <cell r="AW212">
            <v>2</v>
          </cell>
          <cell r="AX212">
            <v>2</v>
          </cell>
          <cell r="AZ212">
            <v>2</v>
          </cell>
          <cell r="BA212">
            <v>2</v>
          </cell>
          <cell r="BB212">
            <v>2</v>
          </cell>
          <cell r="BC212">
            <v>2</v>
          </cell>
          <cell r="BE212">
            <v>2</v>
          </cell>
          <cell r="BF212">
            <v>2</v>
          </cell>
          <cell r="BG212">
            <v>2</v>
          </cell>
          <cell r="BH212">
            <v>2</v>
          </cell>
          <cell r="BI212">
            <v>2</v>
          </cell>
          <cell r="BJ212">
            <v>2</v>
          </cell>
          <cell r="BQ212">
            <v>2</v>
          </cell>
          <cell r="BR212">
            <v>2</v>
          </cell>
          <cell r="BT212">
            <v>2</v>
          </cell>
          <cell r="BU212">
            <v>2</v>
          </cell>
          <cell r="BV212">
            <v>2</v>
          </cell>
          <cell r="BW212">
            <v>2</v>
          </cell>
          <cell r="BX212">
            <v>2</v>
          </cell>
          <cell r="BY212">
            <v>2</v>
          </cell>
          <cell r="CB212">
            <v>2</v>
          </cell>
          <cell r="CC212">
            <v>2</v>
          </cell>
          <cell r="CF212">
            <v>2</v>
          </cell>
          <cell r="CG212">
            <v>2</v>
          </cell>
          <cell r="CH212">
            <v>2</v>
          </cell>
          <cell r="CI212">
            <v>2</v>
          </cell>
          <cell r="CK212">
            <v>1</v>
          </cell>
          <cell r="CM212">
            <v>1.8051434310879571</v>
          </cell>
          <cell r="CN212">
            <v>940</v>
          </cell>
          <cell r="CO212">
            <v>42.727272727272727</v>
          </cell>
          <cell r="CP212">
            <v>1980</v>
          </cell>
          <cell r="CQ212">
            <v>90</v>
          </cell>
          <cell r="CR212">
            <v>1880.222591362126</v>
          </cell>
          <cell r="CS212">
            <v>85.464663243733</v>
          </cell>
          <cell r="CT212">
            <v>400</v>
          </cell>
          <cell r="CU212">
            <v>18.181818181818183</v>
          </cell>
          <cell r="CV212">
            <v>1560</v>
          </cell>
          <cell r="CW212">
            <v>70.909090909090907</v>
          </cell>
          <cell r="CX212">
            <v>6760.222591362126</v>
          </cell>
          <cell r="CY212">
            <v>307.28284506191477</v>
          </cell>
          <cell r="CZ212">
            <v>1390</v>
          </cell>
          <cell r="DA212">
            <v>63.18181818181818</v>
          </cell>
          <cell r="DB212">
            <v>8150.222591362126</v>
          </cell>
          <cell r="DC212">
            <v>370.46466324373296</v>
          </cell>
        </row>
        <row r="213">
          <cell r="A213">
            <v>4</v>
          </cell>
          <cell r="B213" t="str">
            <v>CO</v>
          </cell>
          <cell r="C213" t="str">
            <v>C1</v>
          </cell>
          <cell r="D213" t="str">
            <v>55323-0B030</v>
          </cell>
          <cell r="E213" t="str">
            <v>BKT INSTRUMENT PANEL NO. 3</v>
          </cell>
          <cell r="F213">
            <v>1</v>
          </cell>
          <cell r="G213">
            <v>1</v>
          </cell>
          <cell r="H213">
            <v>1</v>
          </cell>
          <cell r="I213">
            <v>1</v>
          </cell>
          <cell r="J213">
            <v>1</v>
          </cell>
          <cell r="K213">
            <v>1</v>
          </cell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Q213">
            <v>1</v>
          </cell>
          <cell r="R213">
            <v>1</v>
          </cell>
          <cell r="S213">
            <v>1</v>
          </cell>
          <cell r="T213">
            <v>1</v>
          </cell>
          <cell r="U213">
            <v>1</v>
          </cell>
          <cell r="V213">
            <v>1</v>
          </cell>
          <cell r="W213">
            <v>1</v>
          </cell>
          <cell r="X213">
            <v>1</v>
          </cell>
          <cell r="Y213">
            <v>1</v>
          </cell>
          <cell r="Z213">
            <v>1</v>
          </cell>
          <cell r="AA213">
            <v>1</v>
          </cell>
          <cell r="AB213">
            <v>1</v>
          </cell>
          <cell r="AC213">
            <v>1</v>
          </cell>
          <cell r="AD213">
            <v>1</v>
          </cell>
          <cell r="AE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T213">
            <v>1</v>
          </cell>
          <cell r="BU213">
            <v>1</v>
          </cell>
          <cell r="BV213">
            <v>1</v>
          </cell>
          <cell r="BW213">
            <v>1</v>
          </cell>
          <cell r="BX213">
            <v>1</v>
          </cell>
          <cell r="BY213">
            <v>1</v>
          </cell>
          <cell r="BZ213">
            <v>1</v>
          </cell>
          <cell r="CA213">
            <v>1</v>
          </cell>
          <cell r="CB213">
            <v>1</v>
          </cell>
          <cell r="CC213">
            <v>1</v>
          </cell>
          <cell r="CD213">
            <v>1</v>
          </cell>
          <cell r="CE213">
            <v>1</v>
          </cell>
          <cell r="CK213">
            <v>1</v>
          </cell>
          <cell r="CM213">
            <v>0.43521594684385384</v>
          </cell>
          <cell r="CN213">
            <v>0</v>
          </cell>
          <cell r="CO213">
            <v>0</v>
          </cell>
          <cell r="CP213">
            <v>990</v>
          </cell>
          <cell r="CQ213">
            <v>45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280</v>
          </cell>
          <cell r="CW213">
            <v>12.727272727272727</v>
          </cell>
          <cell r="CX213">
            <v>1270</v>
          </cell>
          <cell r="CY213">
            <v>57.727272727272727</v>
          </cell>
          <cell r="CZ213">
            <v>695</v>
          </cell>
          <cell r="DA213">
            <v>31.59090909090909</v>
          </cell>
          <cell r="DB213">
            <v>1965</v>
          </cell>
          <cell r="DC213">
            <v>89.318181818181813</v>
          </cell>
        </row>
        <row r="214">
          <cell r="A214">
            <v>5</v>
          </cell>
          <cell r="B214" t="str">
            <v>CO</v>
          </cell>
          <cell r="C214" t="str">
            <v>C1</v>
          </cell>
          <cell r="D214" t="str">
            <v>53225-0B050</v>
          </cell>
          <cell r="E214" t="str">
            <v>BRACKET, RADIATOR GRILLE MOUNTING, NO.3</v>
          </cell>
          <cell r="F214" t="str">
            <v/>
          </cell>
          <cell r="H214" t="str">
            <v/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W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CK214">
            <v>1</v>
          </cell>
          <cell r="CL214">
            <v>1</v>
          </cell>
          <cell r="CM214">
            <v>0.10409745293466224</v>
          </cell>
          <cell r="CN214">
            <v>470</v>
          </cell>
          <cell r="CO214">
            <v>21.363636363636363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470</v>
          </cell>
          <cell r="CY214">
            <v>21.363636363636363</v>
          </cell>
          <cell r="CZ214">
            <v>0</v>
          </cell>
          <cell r="DA214">
            <v>0</v>
          </cell>
          <cell r="DB214">
            <v>470</v>
          </cell>
          <cell r="DC214">
            <v>21.363636363636363</v>
          </cell>
        </row>
        <row r="215">
          <cell r="A215">
            <v>6</v>
          </cell>
          <cell r="B215" t="str">
            <v>CO</v>
          </cell>
          <cell r="C215" t="str">
            <v>C</v>
          </cell>
          <cell r="D215" t="str">
            <v>77641-0B011</v>
          </cell>
          <cell r="E215" t="str">
            <v>PROTECTOR FUEL TANK</v>
          </cell>
          <cell r="F215">
            <v>1</v>
          </cell>
          <cell r="G215">
            <v>1</v>
          </cell>
          <cell r="H215">
            <v>1</v>
          </cell>
          <cell r="I215">
            <v>1</v>
          </cell>
          <cell r="J215">
            <v>1</v>
          </cell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U215">
            <v>1</v>
          </cell>
          <cell r="V215">
            <v>1</v>
          </cell>
          <cell r="W215">
            <v>1</v>
          </cell>
          <cell r="X215">
            <v>1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1</v>
          </cell>
          <cell r="AD215">
            <v>1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P215">
            <v>1</v>
          </cell>
          <cell r="AQ215">
            <v>1</v>
          </cell>
          <cell r="AR215">
            <v>1</v>
          </cell>
          <cell r="AS215">
            <v>1</v>
          </cell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1</v>
          </cell>
          <cell r="AZ215">
            <v>1</v>
          </cell>
          <cell r="BA215">
            <v>1</v>
          </cell>
          <cell r="BB215">
            <v>1</v>
          </cell>
          <cell r="BC215">
            <v>1</v>
          </cell>
          <cell r="CK215">
            <v>2</v>
          </cell>
          <cell r="CM215">
            <v>0.95459579180509413</v>
          </cell>
          <cell r="CN215">
            <v>940</v>
          </cell>
          <cell r="CO215">
            <v>42.727272727272727</v>
          </cell>
          <cell r="CP215">
            <v>1980</v>
          </cell>
          <cell r="CQ215">
            <v>90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2920</v>
          </cell>
          <cell r="CY215">
            <v>132.72727272727272</v>
          </cell>
          <cell r="CZ215">
            <v>1390</v>
          </cell>
          <cell r="DA215">
            <v>63.18181818181818</v>
          </cell>
          <cell r="DB215">
            <v>4310</v>
          </cell>
          <cell r="DC215">
            <v>195.90909090909091</v>
          </cell>
        </row>
        <row r="216">
          <cell r="A216">
            <v>7</v>
          </cell>
          <cell r="B216" t="str">
            <v>CO</v>
          </cell>
          <cell r="C216" t="str">
            <v>C1</v>
          </cell>
          <cell r="D216" t="str">
            <v>85230-0B010</v>
          </cell>
          <cell r="E216" t="str">
            <v>BRACKET, WIPER</v>
          </cell>
          <cell r="F216">
            <v>1</v>
          </cell>
          <cell r="G216">
            <v>1</v>
          </cell>
          <cell r="H216">
            <v>1</v>
          </cell>
          <cell r="I216">
            <v>1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Q216">
            <v>1</v>
          </cell>
          <cell r="R216">
            <v>1</v>
          </cell>
          <cell r="S216">
            <v>1</v>
          </cell>
          <cell r="T216">
            <v>1</v>
          </cell>
          <cell r="U216">
            <v>1</v>
          </cell>
          <cell r="V216">
            <v>1</v>
          </cell>
          <cell r="W216">
            <v>1</v>
          </cell>
          <cell r="X216">
            <v>1</v>
          </cell>
          <cell r="Y216">
            <v>1</v>
          </cell>
          <cell r="Z216">
            <v>1</v>
          </cell>
          <cell r="AA216">
            <v>1</v>
          </cell>
          <cell r="AB216">
            <v>1</v>
          </cell>
          <cell r="AC216">
            <v>1</v>
          </cell>
          <cell r="AD216">
            <v>1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K216">
            <v>1</v>
          </cell>
          <cell r="AL216">
            <v>1</v>
          </cell>
          <cell r="AM216">
            <v>1</v>
          </cell>
          <cell r="AN216">
            <v>1</v>
          </cell>
          <cell r="AO216">
            <v>1</v>
          </cell>
          <cell r="AP216">
            <v>1</v>
          </cell>
          <cell r="AQ216">
            <v>1</v>
          </cell>
          <cell r="AR216">
            <v>1</v>
          </cell>
          <cell r="AS216">
            <v>1</v>
          </cell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1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E216">
            <v>1</v>
          </cell>
          <cell r="BF216">
            <v>1</v>
          </cell>
          <cell r="BG216">
            <v>1</v>
          </cell>
          <cell r="BH216">
            <v>1</v>
          </cell>
          <cell r="BI216">
            <v>1</v>
          </cell>
          <cell r="BJ216">
            <v>1</v>
          </cell>
          <cell r="BK216">
            <v>1</v>
          </cell>
          <cell r="BL216">
            <v>1</v>
          </cell>
          <cell r="BM216">
            <v>1</v>
          </cell>
          <cell r="BN216">
            <v>1</v>
          </cell>
          <cell r="BO216">
            <v>0</v>
          </cell>
          <cell r="BP216">
            <v>0</v>
          </cell>
          <cell r="BQ216">
            <v>1</v>
          </cell>
          <cell r="BR216">
            <v>1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1</v>
          </cell>
          <cell r="CG216">
            <v>1</v>
          </cell>
          <cell r="CH216">
            <v>1</v>
          </cell>
          <cell r="CI216">
            <v>1</v>
          </cell>
          <cell r="CJ216">
            <v>1</v>
          </cell>
          <cell r="CK216">
            <v>2</v>
          </cell>
          <cell r="CM216">
            <v>1.2727100142382533</v>
          </cell>
          <cell r="CN216">
            <v>940</v>
          </cell>
          <cell r="CO216">
            <v>42.727272727272727</v>
          </cell>
          <cell r="CP216">
            <v>0</v>
          </cell>
          <cell r="CQ216">
            <v>0</v>
          </cell>
          <cell r="CR216">
            <v>1996.285714285714</v>
          </cell>
          <cell r="CS216">
            <v>90.740259740259731</v>
          </cell>
          <cell r="CT216">
            <v>400</v>
          </cell>
          <cell r="CU216">
            <v>18.181818181818183</v>
          </cell>
          <cell r="CV216">
            <v>1020</v>
          </cell>
          <cell r="CW216">
            <v>46.363636363636367</v>
          </cell>
          <cell r="CX216">
            <v>4356.2857142857138</v>
          </cell>
          <cell r="CY216">
            <v>198.01298701298703</v>
          </cell>
          <cell r="CZ216">
            <v>1390</v>
          </cell>
          <cell r="DA216">
            <v>63.18181818181818</v>
          </cell>
          <cell r="DB216">
            <v>5746.2857142857138</v>
          </cell>
          <cell r="DC216">
            <v>261.19480519480521</v>
          </cell>
        </row>
        <row r="217">
          <cell r="A217">
            <v>8</v>
          </cell>
          <cell r="B217" t="str">
            <v>CO</v>
          </cell>
          <cell r="C217" t="str">
            <v>C1</v>
          </cell>
          <cell r="D217" t="str">
            <v>77277-27040</v>
          </cell>
          <cell r="E217" t="str">
            <v>PROTECTOR FUEL TANK FILLER PIPE</v>
          </cell>
          <cell r="F217">
            <v>1</v>
          </cell>
          <cell r="H217">
            <v>1</v>
          </cell>
          <cell r="CK217">
            <v>2</v>
          </cell>
          <cell r="CM217">
            <v>0.30786267995570321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1390</v>
          </cell>
          <cell r="DA217">
            <v>63.18181818181818</v>
          </cell>
          <cell r="DB217">
            <v>1390</v>
          </cell>
          <cell r="DC217">
            <v>63.18181818181818</v>
          </cell>
        </row>
        <row r="218">
          <cell r="A218">
            <v>9</v>
          </cell>
          <cell r="B218" t="str">
            <v>CO</v>
          </cell>
          <cell r="C218" t="str">
            <v>C1</v>
          </cell>
          <cell r="D218" t="str">
            <v>61181-0B010</v>
          </cell>
          <cell r="E218" t="str">
            <v>BRACKET, INSTRUMENT PANEL SIDE RH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1</v>
          </cell>
          <cell r="X218">
            <v>1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Y218" t="str">
            <v>M</v>
          </cell>
          <cell r="AZ218">
            <v>1</v>
          </cell>
          <cell r="BA218">
            <v>1</v>
          </cell>
          <cell r="BB218">
            <v>1</v>
          </cell>
          <cell r="BC218">
            <v>1</v>
          </cell>
          <cell r="BD218" t="str">
            <v>MAL</v>
          </cell>
          <cell r="BT218">
            <v>1</v>
          </cell>
          <cell r="BU218">
            <v>1</v>
          </cell>
          <cell r="BV218">
            <v>1</v>
          </cell>
          <cell r="BW218">
            <v>1</v>
          </cell>
          <cell r="BX218">
            <v>1</v>
          </cell>
          <cell r="BY218">
            <v>1</v>
          </cell>
          <cell r="BZ218">
            <v>1</v>
          </cell>
          <cell r="CA218">
            <v>1</v>
          </cell>
          <cell r="CB218">
            <v>1</v>
          </cell>
          <cell r="CC218">
            <v>1</v>
          </cell>
          <cell r="CD218">
            <v>1</v>
          </cell>
          <cell r="CE218">
            <v>1</v>
          </cell>
          <cell r="CK218">
            <v>1</v>
          </cell>
          <cell r="CM218">
            <v>0.43521594684385384</v>
          </cell>
          <cell r="CN218">
            <v>0</v>
          </cell>
          <cell r="CO218">
            <v>0</v>
          </cell>
          <cell r="CP218">
            <v>990</v>
          </cell>
          <cell r="CQ218">
            <v>45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280</v>
          </cell>
          <cell r="CW218">
            <v>12.727272727272727</v>
          </cell>
          <cell r="CX218">
            <v>1270</v>
          </cell>
          <cell r="CY218">
            <v>57.727272727272727</v>
          </cell>
          <cell r="CZ218">
            <v>695</v>
          </cell>
          <cell r="DA218">
            <v>31.59090909090909</v>
          </cell>
          <cell r="DB218">
            <v>1965</v>
          </cell>
          <cell r="DC218">
            <v>89.318181818181813</v>
          </cell>
        </row>
        <row r="219">
          <cell r="A219">
            <v>10</v>
          </cell>
          <cell r="B219" t="str">
            <v>CO</v>
          </cell>
          <cell r="C219" t="str">
            <v>C1</v>
          </cell>
          <cell r="D219" t="str">
            <v>61182-0B010</v>
          </cell>
          <cell r="E219" t="str">
            <v>BRACKET, INSTRUMENT PANEL SIDE LH</v>
          </cell>
          <cell r="F219">
            <v>1</v>
          </cell>
          <cell r="G219">
            <v>1</v>
          </cell>
          <cell r="H219">
            <v>1</v>
          </cell>
          <cell r="I219">
            <v>1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Y219" t="str">
            <v>M</v>
          </cell>
          <cell r="AZ219">
            <v>1</v>
          </cell>
          <cell r="BA219">
            <v>1</v>
          </cell>
          <cell r="BB219">
            <v>1</v>
          </cell>
          <cell r="BC219">
            <v>1</v>
          </cell>
          <cell r="BD219" t="str">
            <v>MAL</v>
          </cell>
          <cell r="BT219">
            <v>1</v>
          </cell>
          <cell r="BU219">
            <v>1</v>
          </cell>
          <cell r="BV219">
            <v>1</v>
          </cell>
          <cell r="BW219">
            <v>1</v>
          </cell>
          <cell r="BX219">
            <v>1</v>
          </cell>
          <cell r="BY219">
            <v>1</v>
          </cell>
          <cell r="BZ219">
            <v>1</v>
          </cell>
          <cell r="CA219">
            <v>1</v>
          </cell>
          <cell r="CB219">
            <v>1</v>
          </cell>
          <cell r="CC219">
            <v>1</v>
          </cell>
          <cell r="CD219">
            <v>1</v>
          </cell>
          <cell r="CE219">
            <v>1</v>
          </cell>
          <cell r="CK219">
            <v>1</v>
          </cell>
          <cell r="CM219">
            <v>0.43521594684385384</v>
          </cell>
          <cell r="CN219">
            <v>0</v>
          </cell>
          <cell r="CO219">
            <v>0</v>
          </cell>
          <cell r="CP219">
            <v>990</v>
          </cell>
          <cell r="CQ219">
            <v>45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280</v>
          </cell>
          <cell r="CW219">
            <v>12.727272727272727</v>
          </cell>
          <cell r="CX219">
            <v>1270</v>
          </cell>
          <cell r="CY219">
            <v>57.727272727272727</v>
          </cell>
          <cell r="CZ219">
            <v>695</v>
          </cell>
          <cell r="DA219">
            <v>31.59090909090909</v>
          </cell>
          <cell r="DB219">
            <v>1965</v>
          </cell>
          <cell r="DC219">
            <v>89.318181818181813</v>
          </cell>
        </row>
        <row r="220">
          <cell r="A220">
            <v>11</v>
          </cell>
          <cell r="B220" t="str">
            <v>CO</v>
          </cell>
          <cell r="C220" t="str">
            <v>C1</v>
          </cell>
          <cell r="D220" t="str">
            <v>53721-0B010</v>
          </cell>
          <cell r="E220" t="str">
            <v>RETAINER FENDER APRON RH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J220">
            <v>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1</v>
          </cell>
          <cell r="Q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V220">
            <v>1</v>
          </cell>
          <cell r="W220">
            <v>1</v>
          </cell>
          <cell r="X220">
            <v>1</v>
          </cell>
          <cell r="Y220">
            <v>1</v>
          </cell>
          <cell r="Z220">
            <v>1</v>
          </cell>
          <cell r="AA220">
            <v>1</v>
          </cell>
          <cell r="AB220">
            <v>1</v>
          </cell>
          <cell r="AC220">
            <v>1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J220" t="str">
            <v>*</v>
          </cell>
          <cell r="AK220">
            <v>1</v>
          </cell>
          <cell r="AL220">
            <v>1</v>
          </cell>
          <cell r="AM220">
            <v>1</v>
          </cell>
          <cell r="AN220">
            <v>1</v>
          </cell>
          <cell r="AO220">
            <v>1</v>
          </cell>
          <cell r="AP220">
            <v>1</v>
          </cell>
          <cell r="AQ220">
            <v>1</v>
          </cell>
          <cell r="AT220">
            <v>1</v>
          </cell>
          <cell r="AU220">
            <v>1</v>
          </cell>
          <cell r="AV220">
            <v>1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 t="str">
            <v>R</v>
          </cell>
          <cell r="BE220">
            <v>1</v>
          </cell>
          <cell r="BF220">
            <v>1</v>
          </cell>
          <cell r="BG220">
            <v>1</v>
          </cell>
          <cell r="BH220">
            <v>1</v>
          </cell>
          <cell r="BI220">
            <v>1</v>
          </cell>
          <cell r="BJ220">
            <v>1</v>
          </cell>
          <cell r="BO220">
            <v>1</v>
          </cell>
          <cell r="BP220">
            <v>1</v>
          </cell>
          <cell r="BS220" t="str">
            <v>*</v>
          </cell>
          <cell r="BT220">
            <v>0</v>
          </cell>
          <cell r="BU220">
            <v>0</v>
          </cell>
          <cell r="CF220">
            <v>0</v>
          </cell>
          <cell r="CG220">
            <v>0</v>
          </cell>
          <cell r="CK220">
            <v>1</v>
          </cell>
          <cell r="CM220">
            <v>0.54417905615464146</v>
          </cell>
          <cell r="CN220">
            <v>450</v>
          </cell>
          <cell r="CO220">
            <v>20.454545454545453</v>
          </cell>
          <cell r="CP220">
            <v>0</v>
          </cell>
          <cell r="CQ220">
            <v>0</v>
          </cell>
          <cell r="CR220">
            <v>1311.9684385382059</v>
          </cell>
          <cell r="CS220">
            <v>59.634929024463901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1761.9684385382059</v>
          </cell>
          <cell r="CY220">
            <v>80.089474479009354</v>
          </cell>
          <cell r="CZ220">
            <v>695</v>
          </cell>
          <cell r="DA220">
            <v>31.59090909090909</v>
          </cell>
          <cell r="DB220">
            <v>2456.9684385382061</v>
          </cell>
          <cell r="DC220">
            <v>111.68038356991845</v>
          </cell>
        </row>
        <row r="221">
          <cell r="A221">
            <v>12</v>
          </cell>
          <cell r="B221" t="str">
            <v>CO</v>
          </cell>
          <cell r="C221" t="str">
            <v>C1</v>
          </cell>
          <cell r="D221" t="str">
            <v>51735-0B010</v>
          </cell>
          <cell r="E221" t="str">
            <v>R/F CAB MTG No3</v>
          </cell>
          <cell r="F221">
            <v>2</v>
          </cell>
          <cell r="G221">
            <v>2</v>
          </cell>
          <cell r="H221">
            <v>2</v>
          </cell>
          <cell r="I221">
            <v>2</v>
          </cell>
          <cell r="BE221">
            <v>2</v>
          </cell>
          <cell r="CK221">
            <v>1</v>
          </cell>
          <cell r="CM221">
            <v>0.39526348127136196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394.61461794019925</v>
          </cell>
          <cell r="CS221">
            <v>17.937028088190875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394.61461794019925</v>
          </cell>
          <cell r="CY221">
            <v>17.937028088190875</v>
          </cell>
          <cell r="CZ221">
            <v>1390</v>
          </cell>
          <cell r="DA221">
            <v>63.18181818181818</v>
          </cell>
          <cell r="DB221">
            <v>1784.6146179401992</v>
          </cell>
          <cell r="DC221">
            <v>81.118846270009058</v>
          </cell>
        </row>
        <row r="222">
          <cell r="A222">
            <v>13</v>
          </cell>
          <cell r="B222" t="str">
            <v>CO</v>
          </cell>
          <cell r="C222" t="str">
            <v>C1</v>
          </cell>
          <cell r="D222" t="str">
            <v>51744-0B010</v>
          </cell>
          <cell r="E222" t="str">
            <v>BKT RR BODY MTG No4</v>
          </cell>
          <cell r="F222">
            <v>4</v>
          </cell>
          <cell r="G222">
            <v>4</v>
          </cell>
          <cell r="H222">
            <v>4</v>
          </cell>
          <cell r="I222">
            <v>4</v>
          </cell>
          <cell r="BE222">
            <v>4</v>
          </cell>
          <cell r="CK222">
            <v>1</v>
          </cell>
          <cell r="CM222">
            <v>0.79052696254272392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789.22923588039851</v>
          </cell>
          <cell r="CS222">
            <v>35.87405617638175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789.22923588039851</v>
          </cell>
          <cell r="CY222">
            <v>35.87405617638175</v>
          </cell>
          <cell r="CZ222">
            <v>2780</v>
          </cell>
          <cell r="DA222">
            <v>126.36363636363636</v>
          </cell>
          <cell r="DB222">
            <v>3569.2292358803984</v>
          </cell>
          <cell r="DC222">
            <v>162.23769254001812</v>
          </cell>
        </row>
        <row r="223">
          <cell r="A223">
            <v>14</v>
          </cell>
          <cell r="B223" t="str">
            <v>CO</v>
          </cell>
          <cell r="C223" t="str">
            <v>C1</v>
          </cell>
          <cell r="D223" t="str">
            <v>53225-0B030</v>
          </cell>
          <cell r="E223" t="str">
            <v>BKT RADIATOR GRILLE MOUNTING NO. 3</v>
          </cell>
          <cell r="F223">
            <v>1</v>
          </cell>
          <cell r="G223">
            <v>1</v>
          </cell>
          <cell r="H223">
            <v>1</v>
          </cell>
          <cell r="I223">
            <v>1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CK223">
            <v>1</v>
          </cell>
          <cell r="CM223">
            <v>0.15393133997785161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695</v>
          </cell>
          <cell r="DA223">
            <v>31.59090909090909</v>
          </cell>
          <cell r="DB223">
            <v>695</v>
          </cell>
          <cell r="DC223">
            <v>31.59090909090909</v>
          </cell>
        </row>
        <row r="224">
          <cell r="A224">
            <v>15</v>
          </cell>
          <cell r="B224" t="str">
            <v>CO</v>
          </cell>
          <cell r="C224" t="str">
            <v>C1</v>
          </cell>
          <cell r="D224" t="str">
            <v>53225-0B040</v>
          </cell>
          <cell r="E224" t="str">
            <v>BKT RADIATOR GRILLE MOUNTING NO. 3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CK224">
            <v>1</v>
          </cell>
          <cell r="CM224">
            <v>0.10409745293466224</v>
          </cell>
          <cell r="CN224">
            <v>470</v>
          </cell>
          <cell r="CO224">
            <v>21.363636363636363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470</v>
          </cell>
          <cell r="CY224">
            <v>21.363636363636363</v>
          </cell>
          <cell r="CZ224">
            <v>0</v>
          </cell>
          <cell r="DA224">
            <v>0</v>
          </cell>
          <cell r="DB224">
            <v>470</v>
          </cell>
          <cell r="DC224">
            <v>21.363636363636363</v>
          </cell>
        </row>
        <row r="225">
          <cell r="A225">
            <v>16</v>
          </cell>
          <cell r="B225" t="str">
            <v>CO</v>
          </cell>
          <cell r="C225" t="str">
            <v>C1</v>
          </cell>
          <cell r="D225" t="str">
            <v>53633-0B040</v>
          </cell>
          <cell r="E225" t="str">
            <v>SHIELD HOOD LOCK CONTROL CABLE</v>
          </cell>
          <cell r="F225">
            <v>1</v>
          </cell>
          <cell r="G225">
            <v>1</v>
          </cell>
          <cell r="H225">
            <v>1</v>
          </cell>
          <cell r="I225">
            <v>1</v>
          </cell>
          <cell r="J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CK225">
            <v>2</v>
          </cell>
          <cell r="CL225">
            <v>2</v>
          </cell>
          <cell r="CM225">
            <v>0.7464008859357697</v>
          </cell>
          <cell r="CN225">
            <v>0</v>
          </cell>
          <cell r="CO225">
            <v>0</v>
          </cell>
          <cell r="CP225">
            <v>1980</v>
          </cell>
          <cell r="CQ225">
            <v>90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1980</v>
          </cell>
          <cell r="CY225">
            <v>90</v>
          </cell>
          <cell r="CZ225">
            <v>1390</v>
          </cell>
          <cell r="DA225">
            <v>63.18181818181818</v>
          </cell>
          <cell r="DB225">
            <v>3370</v>
          </cell>
          <cell r="DC225">
            <v>153.18181818181819</v>
          </cell>
        </row>
        <row r="226">
          <cell r="A226">
            <v>17</v>
          </cell>
          <cell r="B226" t="str">
            <v>CO</v>
          </cell>
          <cell r="C226" t="str">
            <v>C1</v>
          </cell>
          <cell r="D226" t="str">
            <v>55325-0B010</v>
          </cell>
          <cell r="E226" t="str">
            <v>BRACKET INSTRUMENT PANEL NO. 5</v>
          </cell>
          <cell r="K226">
            <v>1</v>
          </cell>
          <cell r="L226">
            <v>1</v>
          </cell>
          <cell r="M226">
            <v>1</v>
          </cell>
          <cell r="P226">
            <v>1</v>
          </cell>
          <cell r="Q226">
            <v>1</v>
          </cell>
          <cell r="R226">
            <v>1</v>
          </cell>
          <cell r="V226">
            <v>1</v>
          </cell>
          <cell r="Z226">
            <v>1</v>
          </cell>
          <cell r="AB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0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K226">
            <v>1</v>
          </cell>
          <cell r="CM226">
            <v>0.19712070874861573</v>
          </cell>
          <cell r="CN226">
            <v>0</v>
          </cell>
          <cell r="CO226">
            <v>0</v>
          </cell>
          <cell r="CP226">
            <v>610</v>
          </cell>
          <cell r="CQ226">
            <v>27.727272727272727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280</v>
          </cell>
          <cell r="CW226">
            <v>12.727272727272727</v>
          </cell>
          <cell r="CX226">
            <v>890</v>
          </cell>
          <cell r="CY226">
            <v>40.454545454545453</v>
          </cell>
          <cell r="CZ226">
            <v>0</v>
          </cell>
          <cell r="DA226">
            <v>0</v>
          </cell>
          <cell r="DB226">
            <v>890</v>
          </cell>
          <cell r="DC226">
            <v>40.454545454545453</v>
          </cell>
        </row>
        <row r="227">
          <cell r="A227">
            <v>18</v>
          </cell>
          <cell r="B227" t="str">
            <v>CO</v>
          </cell>
          <cell r="C227" t="str">
            <v>C1</v>
          </cell>
          <cell r="D227" t="str">
            <v>55387-0B040</v>
          </cell>
          <cell r="E227" t="str">
            <v>BKT COMPUTER MOUNTING</v>
          </cell>
          <cell r="BV227">
            <v>2</v>
          </cell>
          <cell r="BW227">
            <v>2</v>
          </cell>
          <cell r="BX227">
            <v>2</v>
          </cell>
          <cell r="BY227">
            <v>2</v>
          </cell>
          <cell r="BZ227">
            <v>2</v>
          </cell>
          <cell r="CA227">
            <v>2</v>
          </cell>
          <cell r="CK227">
            <v>1</v>
          </cell>
          <cell r="CM227">
            <v>5.3156146179401995E-2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240</v>
          </cell>
          <cell r="CW227">
            <v>10.909090909090908</v>
          </cell>
          <cell r="CX227">
            <v>240</v>
          </cell>
          <cell r="CY227">
            <v>10.909090909090908</v>
          </cell>
          <cell r="CZ227">
            <v>0</v>
          </cell>
          <cell r="DA227">
            <v>0</v>
          </cell>
          <cell r="DB227">
            <v>240</v>
          </cell>
          <cell r="DC227">
            <v>10.909090909090908</v>
          </cell>
        </row>
        <row r="228">
          <cell r="A228" t="str">
            <v>#</v>
          </cell>
          <cell r="B228" t="str">
            <v>E</v>
          </cell>
          <cell r="C228" t="str">
            <v>C1</v>
          </cell>
          <cell r="D228" t="str">
            <v>58157-0B010</v>
          </cell>
          <cell r="E228" t="str">
            <v>INSULATOR FLOOR HEAT NO. 5</v>
          </cell>
          <cell r="K228">
            <v>1</v>
          </cell>
          <cell r="L228">
            <v>1</v>
          </cell>
          <cell r="M228">
            <v>1</v>
          </cell>
          <cell r="P228">
            <v>1</v>
          </cell>
          <cell r="Q228">
            <v>1</v>
          </cell>
          <cell r="R228">
            <v>1</v>
          </cell>
          <cell r="V228">
            <v>1</v>
          </cell>
          <cell r="Z228">
            <v>1</v>
          </cell>
          <cell r="AB228">
            <v>1</v>
          </cell>
          <cell r="AD228">
            <v>1</v>
          </cell>
          <cell r="AE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1</v>
          </cell>
          <cell r="AZ228">
            <v>0</v>
          </cell>
          <cell r="BA228">
            <v>0</v>
          </cell>
          <cell r="BB228">
            <v>0</v>
          </cell>
          <cell r="CL228">
            <v>2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</row>
        <row r="229">
          <cell r="A229" t="str">
            <v>#</v>
          </cell>
          <cell r="B229" t="str">
            <v>E</v>
          </cell>
          <cell r="C229" t="str">
            <v>C1</v>
          </cell>
          <cell r="D229" t="str">
            <v>58157-0B030</v>
          </cell>
          <cell r="E229" t="str">
            <v>INSULATOR FLOOR HEAT NO. 5</v>
          </cell>
          <cell r="K229">
            <v>1</v>
          </cell>
          <cell r="L229">
            <v>1</v>
          </cell>
          <cell r="M229">
            <v>1</v>
          </cell>
          <cell r="V229">
            <v>1</v>
          </cell>
          <cell r="Z229">
            <v>1</v>
          </cell>
          <cell r="AD229">
            <v>1</v>
          </cell>
          <cell r="AE229">
            <v>1</v>
          </cell>
          <cell r="CL229">
            <v>2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</row>
        <row r="231">
          <cell r="CK231">
            <v>22</v>
          </cell>
          <cell r="CM231">
            <v>10.757081047670555</v>
          </cell>
        </row>
        <row r="232">
          <cell r="D232" t="str">
            <v>LOADING  C1 =</v>
          </cell>
          <cell r="F232" t="str">
            <v>DOM =</v>
          </cell>
          <cell r="G232">
            <v>2.2958509513742071</v>
          </cell>
          <cell r="H232" t="str">
            <v>PHIL =</v>
          </cell>
          <cell r="I232">
            <v>0.55628964059196617</v>
          </cell>
          <cell r="J232" t="str">
            <v>MAL =</v>
          </cell>
          <cell r="K232">
            <v>1.5195560253699789</v>
          </cell>
          <cell r="L232" t="str">
            <v>TAI=</v>
          </cell>
          <cell r="M232">
            <v>1.1579308840159299</v>
          </cell>
          <cell r="N232" t="str">
            <v>VIET=</v>
          </cell>
          <cell r="O232">
            <v>0.15856236786469347</v>
          </cell>
          <cell r="CK232" t="str">
            <v>SA =</v>
          </cell>
          <cell r="CL232">
            <v>0.72938689217758979</v>
          </cell>
        </row>
        <row r="233">
          <cell r="D233" t="str">
            <v>TOT.  LOADING  C1 =</v>
          </cell>
          <cell r="F233">
            <v>6.4175767613943648</v>
          </cell>
          <cell r="H233" t="str">
            <v>HOURS</v>
          </cell>
        </row>
        <row r="235">
          <cell r="A235" t="str">
            <v>LINE E - 110 T</v>
          </cell>
        </row>
        <row r="237">
          <cell r="A237">
            <v>1</v>
          </cell>
          <cell r="B237" t="str">
            <v>CO</v>
          </cell>
          <cell r="C237" t="str">
            <v>C1</v>
          </cell>
          <cell r="D237" t="str">
            <v>53751-0B010</v>
          </cell>
          <cell r="E237" t="str">
            <v>BRACKET CHARCOAL CANISTER MOUNTING</v>
          </cell>
          <cell r="AZ237">
            <v>1</v>
          </cell>
          <cell r="BA237">
            <v>1</v>
          </cell>
          <cell r="BB237">
            <v>1</v>
          </cell>
          <cell r="CK237">
            <v>1</v>
          </cell>
          <cell r="CM237">
            <v>0.13510520487264674</v>
          </cell>
          <cell r="CN237">
            <v>0</v>
          </cell>
          <cell r="CO237">
            <v>0</v>
          </cell>
          <cell r="CP237">
            <v>610</v>
          </cell>
          <cell r="CQ237">
            <v>27.727272727272727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610</v>
          </cell>
          <cell r="CY237">
            <v>27.727272727272727</v>
          </cell>
          <cell r="CZ237">
            <v>0</v>
          </cell>
          <cell r="DA237">
            <v>0</v>
          </cell>
          <cell r="DB237">
            <v>610</v>
          </cell>
          <cell r="DC237">
            <v>27.727272727272727</v>
          </cell>
        </row>
        <row r="238">
          <cell r="A238">
            <v>2</v>
          </cell>
          <cell r="B238" t="str">
            <v>CO</v>
          </cell>
          <cell r="C238" t="str">
            <v>E</v>
          </cell>
          <cell r="D238" t="str">
            <v>53117-0B020</v>
          </cell>
          <cell r="E238" t="str">
            <v>BKT RADIATOR GRILE LWR RH</v>
          </cell>
          <cell r="F238">
            <v>1</v>
          </cell>
          <cell r="G238">
            <v>1</v>
          </cell>
          <cell r="H238">
            <v>1</v>
          </cell>
          <cell r="I238">
            <v>1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AD238">
            <v>0</v>
          </cell>
          <cell r="AE238">
            <v>0</v>
          </cell>
          <cell r="AF238">
            <v>0</v>
          </cell>
          <cell r="AH238">
            <v>0</v>
          </cell>
          <cell r="AK238">
            <v>1</v>
          </cell>
          <cell r="AL238">
            <v>1</v>
          </cell>
          <cell r="AM238">
            <v>1</v>
          </cell>
          <cell r="AN238">
            <v>1</v>
          </cell>
          <cell r="AO238">
            <v>1</v>
          </cell>
          <cell r="AP238">
            <v>1</v>
          </cell>
          <cell r="AQ238">
            <v>1</v>
          </cell>
          <cell r="AR238">
            <v>1</v>
          </cell>
          <cell r="AS238">
            <v>1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CK238">
            <v>1</v>
          </cell>
          <cell r="CM238">
            <v>0.22259136212624583</v>
          </cell>
          <cell r="CN238">
            <v>310</v>
          </cell>
          <cell r="CO238">
            <v>14.090909090909092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310</v>
          </cell>
          <cell r="CY238">
            <v>14.090909090909092</v>
          </cell>
          <cell r="CZ238">
            <v>695</v>
          </cell>
          <cell r="DA238">
            <v>31.59090909090909</v>
          </cell>
          <cell r="DB238">
            <v>1005</v>
          </cell>
          <cell r="DC238">
            <v>45.68181818181818</v>
          </cell>
        </row>
        <row r="239">
          <cell r="A239">
            <v>3</v>
          </cell>
          <cell r="B239" t="str">
            <v>CO</v>
          </cell>
          <cell r="C239" t="str">
            <v>E</v>
          </cell>
          <cell r="D239" t="str">
            <v>53118-0B020</v>
          </cell>
          <cell r="E239" t="str">
            <v>BKT RADIATOR GRILE LWR LH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AD239">
            <v>0</v>
          </cell>
          <cell r="AE239">
            <v>0</v>
          </cell>
          <cell r="AF239">
            <v>0</v>
          </cell>
          <cell r="AH239">
            <v>0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CK239">
            <v>1</v>
          </cell>
          <cell r="CM239">
            <v>0.22259136212624583</v>
          </cell>
          <cell r="CN239">
            <v>310</v>
          </cell>
          <cell r="CO239">
            <v>14.090909090909092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310</v>
          </cell>
          <cell r="CY239">
            <v>14.090909090909092</v>
          </cell>
          <cell r="CZ239">
            <v>695</v>
          </cell>
          <cell r="DA239">
            <v>31.59090909090909</v>
          </cell>
          <cell r="DB239">
            <v>1005</v>
          </cell>
          <cell r="DC239">
            <v>45.68181818181818</v>
          </cell>
        </row>
        <row r="240">
          <cell r="A240">
            <v>4</v>
          </cell>
          <cell r="B240" t="str">
            <v>CO</v>
          </cell>
          <cell r="C240" t="str">
            <v>E</v>
          </cell>
          <cell r="D240" t="str">
            <v>55322-0B030</v>
          </cell>
          <cell r="E240" t="str">
            <v>BKT INSTRUMENT PANEL NO. 2</v>
          </cell>
          <cell r="F240">
            <v>1</v>
          </cell>
          <cell r="G240">
            <v>1</v>
          </cell>
          <cell r="H240">
            <v>1</v>
          </cell>
          <cell r="I240">
            <v>1</v>
          </cell>
          <cell r="J240">
            <v>1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K240">
            <v>1</v>
          </cell>
          <cell r="CL240">
            <v>1</v>
          </cell>
          <cell r="CM240">
            <v>0.43521594684385384</v>
          </cell>
          <cell r="CN240">
            <v>0</v>
          </cell>
          <cell r="CO240">
            <v>0</v>
          </cell>
          <cell r="CP240">
            <v>990</v>
          </cell>
          <cell r="CQ240">
            <v>45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280</v>
          </cell>
          <cell r="CW240">
            <v>12.727272727272727</v>
          </cell>
          <cell r="CX240">
            <v>1270</v>
          </cell>
          <cell r="CY240">
            <v>57.727272727272727</v>
          </cell>
          <cell r="CZ240">
            <v>695</v>
          </cell>
          <cell r="DA240">
            <v>31.59090909090909</v>
          </cell>
          <cell r="DB240">
            <v>1965</v>
          </cell>
          <cell r="DC240">
            <v>89.318181818181813</v>
          </cell>
        </row>
        <row r="241">
          <cell r="A241">
            <v>5</v>
          </cell>
          <cell r="B241" t="str">
            <v>CO</v>
          </cell>
          <cell r="C241" t="str">
            <v>E</v>
          </cell>
          <cell r="D241" t="str">
            <v>53755-0B010</v>
          </cell>
          <cell r="E241" t="str">
            <v>BRACKET FUSIBLE LINK MOUNTING</v>
          </cell>
          <cell r="K241">
            <v>1</v>
          </cell>
          <cell r="L241">
            <v>1</v>
          </cell>
          <cell r="M241">
            <v>1</v>
          </cell>
          <cell r="P241">
            <v>1</v>
          </cell>
          <cell r="Q241">
            <v>1</v>
          </cell>
          <cell r="R241">
            <v>1</v>
          </cell>
          <cell r="V241">
            <v>1</v>
          </cell>
          <cell r="Z241">
            <v>1</v>
          </cell>
          <cell r="AB241">
            <v>1</v>
          </cell>
          <cell r="AD241">
            <v>1</v>
          </cell>
          <cell r="AE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1</v>
          </cell>
          <cell r="AK241">
            <v>1</v>
          </cell>
          <cell r="AL241">
            <v>1</v>
          </cell>
          <cell r="AM241">
            <v>1</v>
          </cell>
          <cell r="AN241">
            <v>1</v>
          </cell>
          <cell r="AO241">
            <v>1</v>
          </cell>
          <cell r="AP241">
            <v>1</v>
          </cell>
          <cell r="AQ241">
            <v>1</v>
          </cell>
          <cell r="AR241">
            <v>1</v>
          </cell>
          <cell r="AS241">
            <v>1</v>
          </cell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1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E241">
            <v>1</v>
          </cell>
          <cell r="BF241">
            <v>1</v>
          </cell>
          <cell r="BG241">
            <v>1</v>
          </cell>
          <cell r="BH241">
            <v>1</v>
          </cell>
          <cell r="BI241">
            <v>1</v>
          </cell>
          <cell r="BJ241">
            <v>1</v>
          </cell>
          <cell r="BK241">
            <v>1</v>
          </cell>
          <cell r="BL241">
            <v>1</v>
          </cell>
          <cell r="BM241">
            <v>1</v>
          </cell>
          <cell r="BN241">
            <v>1</v>
          </cell>
          <cell r="BO241">
            <v>1</v>
          </cell>
          <cell r="BP241">
            <v>1</v>
          </cell>
          <cell r="BV241">
            <v>1</v>
          </cell>
          <cell r="BW241">
            <v>1</v>
          </cell>
          <cell r="BX241">
            <v>1</v>
          </cell>
          <cell r="BY241">
            <v>1</v>
          </cell>
          <cell r="BZ241">
            <v>1</v>
          </cell>
          <cell r="CA241">
            <v>1</v>
          </cell>
          <cell r="CB241">
            <v>1</v>
          </cell>
          <cell r="CC241">
            <v>1</v>
          </cell>
          <cell r="CD241">
            <v>1</v>
          </cell>
          <cell r="CE241">
            <v>1</v>
          </cell>
          <cell r="CH241">
            <v>1</v>
          </cell>
          <cell r="CI241">
            <v>1</v>
          </cell>
          <cell r="CJ241">
            <v>1</v>
          </cell>
          <cell r="CK241">
            <v>1</v>
          </cell>
          <cell r="CM241">
            <v>0.53599114064230347</v>
          </cell>
          <cell r="CN241">
            <v>470</v>
          </cell>
          <cell r="CO241">
            <v>21.363636363636363</v>
          </cell>
          <cell r="CP241">
            <v>0</v>
          </cell>
          <cell r="CQ241">
            <v>0</v>
          </cell>
          <cell r="CR241">
            <v>1370</v>
          </cell>
          <cell r="CS241">
            <v>62.272727272727273</v>
          </cell>
          <cell r="CT241">
            <v>0</v>
          </cell>
          <cell r="CU241">
            <v>0</v>
          </cell>
          <cell r="CV241">
            <v>580</v>
          </cell>
          <cell r="CW241">
            <v>26.363636363636363</v>
          </cell>
          <cell r="CX241">
            <v>2420</v>
          </cell>
          <cell r="CY241">
            <v>110</v>
          </cell>
          <cell r="CZ241">
            <v>0</v>
          </cell>
          <cell r="DA241">
            <v>0</v>
          </cell>
          <cell r="DB241">
            <v>2420</v>
          </cell>
          <cell r="DC241">
            <v>110</v>
          </cell>
        </row>
        <row r="242">
          <cell r="A242">
            <v>6</v>
          </cell>
          <cell r="B242" t="str">
            <v>CO</v>
          </cell>
          <cell r="C242" t="str">
            <v>E</v>
          </cell>
          <cell r="D242" t="str">
            <v>53765-0B010</v>
          </cell>
          <cell r="E242" t="str">
            <v>BRACKET FUEL FILTER MOUNTING</v>
          </cell>
          <cell r="K242">
            <v>1</v>
          </cell>
          <cell r="L242">
            <v>1</v>
          </cell>
          <cell r="M242">
            <v>1</v>
          </cell>
          <cell r="P242">
            <v>1</v>
          </cell>
          <cell r="Q242">
            <v>1</v>
          </cell>
          <cell r="R242">
            <v>1</v>
          </cell>
          <cell r="V242">
            <v>1</v>
          </cell>
          <cell r="Z242">
            <v>1</v>
          </cell>
          <cell r="AB242">
            <v>1</v>
          </cell>
          <cell r="AE242">
            <v>0</v>
          </cell>
          <cell r="AH242">
            <v>0</v>
          </cell>
          <cell r="AI242">
            <v>0</v>
          </cell>
          <cell r="AK242">
            <v>1</v>
          </cell>
          <cell r="AL242">
            <v>1</v>
          </cell>
          <cell r="AM242">
            <v>1</v>
          </cell>
          <cell r="AN242">
            <v>1</v>
          </cell>
          <cell r="AS242">
            <v>1</v>
          </cell>
          <cell r="AU242">
            <v>1</v>
          </cell>
          <cell r="AV242">
            <v>1</v>
          </cell>
          <cell r="AX242">
            <v>1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  <cell r="BJ242">
            <v>1</v>
          </cell>
          <cell r="BQ242">
            <v>1</v>
          </cell>
          <cell r="BR242">
            <v>1</v>
          </cell>
          <cell r="CK242">
            <v>1</v>
          </cell>
          <cell r="CM242">
            <v>0.29016861476878469</v>
          </cell>
          <cell r="CN242">
            <v>170</v>
          </cell>
          <cell r="CO242">
            <v>7.7272727272727275</v>
          </cell>
          <cell r="CP242">
            <v>0</v>
          </cell>
          <cell r="CQ242">
            <v>0</v>
          </cell>
          <cell r="CR242">
            <v>940.11129568106298</v>
          </cell>
          <cell r="CS242">
            <v>42.7323316218665</v>
          </cell>
          <cell r="CT242">
            <v>200</v>
          </cell>
          <cell r="CU242">
            <v>9.0909090909090917</v>
          </cell>
          <cell r="CV242">
            <v>0</v>
          </cell>
          <cell r="CW242">
            <v>0</v>
          </cell>
          <cell r="CX242">
            <v>1310.111295681063</v>
          </cell>
          <cell r="CY242">
            <v>59.55051344004832</v>
          </cell>
          <cell r="CZ242">
            <v>0</v>
          </cell>
          <cell r="DA242">
            <v>0</v>
          </cell>
          <cell r="DB242">
            <v>1310.111295681063</v>
          </cell>
          <cell r="DC242">
            <v>59.55051344004832</v>
          </cell>
        </row>
        <row r="243">
          <cell r="A243">
            <v>7</v>
          </cell>
          <cell r="B243" t="str">
            <v>CO</v>
          </cell>
          <cell r="C243" t="str">
            <v>E</v>
          </cell>
          <cell r="D243" t="str">
            <v>53877-0B010</v>
          </cell>
          <cell r="E243" t="str">
            <v>BKT,FR FENDER RR SIDE PNL LWR RH</v>
          </cell>
          <cell r="F243">
            <v>2</v>
          </cell>
          <cell r="G243">
            <v>2</v>
          </cell>
          <cell r="H243">
            <v>2</v>
          </cell>
          <cell r="I243">
            <v>2</v>
          </cell>
          <cell r="J243">
            <v>2</v>
          </cell>
          <cell r="K243">
            <v>2</v>
          </cell>
          <cell r="L243">
            <v>2</v>
          </cell>
          <cell r="M243">
            <v>2</v>
          </cell>
          <cell r="N243">
            <v>2</v>
          </cell>
          <cell r="O243">
            <v>2</v>
          </cell>
          <cell r="P243">
            <v>2</v>
          </cell>
          <cell r="Q243">
            <v>2</v>
          </cell>
          <cell r="R243">
            <v>2</v>
          </cell>
          <cell r="S243">
            <v>2</v>
          </cell>
          <cell r="T243">
            <v>2</v>
          </cell>
          <cell r="U243">
            <v>2</v>
          </cell>
          <cell r="V243">
            <v>2</v>
          </cell>
          <cell r="W243">
            <v>2</v>
          </cell>
          <cell r="X243">
            <v>2</v>
          </cell>
          <cell r="Y243">
            <v>2</v>
          </cell>
          <cell r="Z243">
            <v>2</v>
          </cell>
          <cell r="AA243">
            <v>2</v>
          </cell>
          <cell r="AB243">
            <v>2</v>
          </cell>
          <cell r="AC243">
            <v>2</v>
          </cell>
          <cell r="AD243">
            <v>2</v>
          </cell>
          <cell r="AE243">
            <v>2</v>
          </cell>
          <cell r="AF243">
            <v>2</v>
          </cell>
          <cell r="AG243">
            <v>2</v>
          </cell>
          <cell r="AH243">
            <v>2</v>
          </cell>
          <cell r="AI243">
            <v>2</v>
          </cell>
          <cell r="AR243">
            <v>1</v>
          </cell>
          <cell r="AS243">
            <v>1</v>
          </cell>
          <cell r="AW243">
            <v>1</v>
          </cell>
          <cell r="AX243">
            <v>1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CK243">
            <v>2</v>
          </cell>
          <cell r="CM243">
            <v>0.62458471760797341</v>
          </cell>
          <cell r="CN243">
            <v>40</v>
          </cell>
          <cell r="CO243">
            <v>1.8181818181818181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40</v>
          </cell>
          <cell r="CY243">
            <v>1.8181818181818181</v>
          </cell>
          <cell r="CZ243">
            <v>2780</v>
          </cell>
          <cell r="DA243">
            <v>126.36363636363636</v>
          </cell>
          <cell r="DB243">
            <v>2820</v>
          </cell>
          <cell r="DC243">
            <v>128.18181818181819</v>
          </cell>
        </row>
        <row r="244">
          <cell r="A244">
            <v>8</v>
          </cell>
          <cell r="B244" t="str">
            <v>CO</v>
          </cell>
          <cell r="C244" t="str">
            <v>E</v>
          </cell>
          <cell r="D244" t="str">
            <v>53877-0B020</v>
          </cell>
          <cell r="E244" t="str">
            <v>BKT,FR FENDER RR SIDE PNL LWR RH</v>
          </cell>
          <cell r="AK244">
            <v>2</v>
          </cell>
          <cell r="AL244">
            <v>2</v>
          </cell>
          <cell r="AM244">
            <v>2</v>
          </cell>
          <cell r="AN244">
            <v>2</v>
          </cell>
          <cell r="AO244">
            <v>2</v>
          </cell>
          <cell r="AP244">
            <v>2</v>
          </cell>
          <cell r="AQ244">
            <v>2</v>
          </cell>
          <cell r="AR244">
            <v>1</v>
          </cell>
          <cell r="AS244">
            <v>1</v>
          </cell>
          <cell r="AT244">
            <v>2</v>
          </cell>
          <cell r="AU244">
            <v>2</v>
          </cell>
          <cell r="AV244">
            <v>2</v>
          </cell>
          <cell r="AW244">
            <v>1</v>
          </cell>
          <cell r="AX244">
            <v>1</v>
          </cell>
          <cell r="BE244">
            <v>2</v>
          </cell>
          <cell r="BF244">
            <v>2</v>
          </cell>
          <cell r="BG244">
            <v>2</v>
          </cell>
          <cell r="BH244">
            <v>2</v>
          </cell>
          <cell r="BI244">
            <v>2</v>
          </cell>
          <cell r="BJ244">
            <v>2</v>
          </cell>
          <cell r="BK244">
            <v>2</v>
          </cell>
          <cell r="BL244">
            <v>2</v>
          </cell>
          <cell r="BM244">
            <v>2</v>
          </cell>
          <cell r="BN244">
            <v>2</v>
          </cell>
          <cell r="BO244">
            <v>2</v>
          </cell>
          <cell r="BP244">
            <v>2</v>
          </cell>
          <cell r="BT244">
            <v>2</v>
          </cell>
          <cell r="BU244">
            <v>2</v>
          </cell>
          <cell r="BV244">
            <v>2</v>
          </cell>
          <cell r="BW244">
            <v>2</v>
          </cell>
          <cell r="BX244">
            <v>2</v>
          </cell>
          <cell r="BY244">
            <v>2</v>
          </cell>
          <cell r="BZ244">
            <v>2</v>
          </cell>
          <cell r="CA244">
            <v>2</v>
          </cell>
          <cell r="CB244">
            <v>2</v>
          </cell>
          <cell r="CC244">
            <v>2</v>
          </cell>
          <cell r="CD244">
            <v>2</v>
          </cell>
          <cell r="CE244">
            <v>2</v>
          </cell>
          <cell r="CF244">
            <v>2</v>
          </cell>
          <cell r="CG244">
            <v>2</v>
          </cell>
          <cell r="CH244">
            <v>2</v>
          </cell>
          <cell r="CI244">
            <v>2</v>
          </cell>
          <cell r="CJ244">
            <v>2</v>
          </cell>
          <cell r="CK244">
            <v>2</v>
          </cell>
          <cell r="CM244">
            <v>2.3211517165005535</v>
          </cell>
          <cell r="CN244">
            <v>1840</v>
          </cell>
          <cell r="CO244">
            <v>83.63636363636364</v>
          </cell>
          <cell r="CP244">
            <v>0</v>
          </cell>
          <cell r="CQ244">
            <v>0</v>
          </cell>
          <cell r="CR244">
            <v>5480</v>
          </cell>
          <cell r="CS244">
            <v>249.09090909090909</v>
          </cell>
          <cell r="CT244">
            <v>0</v>
          </cell>
          <cell r="CU244">
            <v>0</v>
          </cell>
          <cell r="CV244">
            <v>3160</v>
          </cell>
          <cell r="CW244">
            <v>143.63636363636363</v>
          </cell>
          <cell r="CX244">
            <v>10480</v>
          </cell>
          <cell r="CY244">
            <v>476.36363636363637</v>
          </cell>
          <cell r="CZ244">
            <v>0</v>
          </cell>
          <cell r="DA244">
            <v>0</v>
          </cell>
          <cell r="DB244">
            <v>10480</v>
          </cell>
          <cell r="DC244">
            <v>476.36363636363637</v>
          </cell>
        </row>
        <row r="245">
          <cell r="A245">
            <v>9</v>
          </cell>
          <cell r="B245" t="str">
            <v>CO</v>
          </cell>
          <cell r="C245" t="str">
            <v>E</v>
          </cell>
          <cell r="D245" t="str">
            <v>77351-YZC10</v>
          </cell>
          <cell r="E245" t="str">
            <v>LID, FUEL FILLER OPENING OUTER</v>
          </cell>
          <cell r="F245">
            <v>1</v>
          </cell>
          <cell r="H245">
            <v>1</v>
          </cell>
          <cell r="CK245">
            <v>2</v>
          </cell>
          <cell r="CM245">
            <v>0.30786267995570321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1390</v>
          </cell>
          <cell r="DA245">
            <v>63.18181818181818</v>
          </cell>
          <cell r="DB245">
            <v>1390</v>
          </cell>
          <cell r="DC245">
            <v>63.18181818181818</v>
          </cell>
        </row>
        <row r="248">
          <cell r="CK248">
            <v>12</v>
          </cell>
          <cell r="CM248">
            <v>5.0952627454443107</v>
          </cell>
        </row>
        <row r="250">
          <cell r="D250" t="str">
            <v>LOADING  E =</v>
          </cell>
          <cell r="F250" t="str">
            <v>DOM =</v>
          </cell>
          <cell r="G250">
            <v>0.70725915875169609</v>
          </cell>
          <cell r="H250" t="str">
            <v>PHIL =</v>
          </cell>
          <cell r="I250">
            <v>0.35504296698326548</v>
          </cell>
          <cell r="J250" t="str">
            <v>MAL =</v>
          </cell>
          <cell r="K250">
            <v>0.18091361374943465</v>
          </cell>
          <cell r="L250" t="str">
            <v>TAI=</v>
          </cell>
          <cell r="M250">
            <v>0.88083574125746977</v>
          </cell>
          <cell r="N250" t="str">
            <v>VIET=</v>
          </cell>
          <cell r="O250">
            <v>2.2614201718679332E-2</v>
          </cell>
          <cell r="CK250" t="str">
            <v>SA =</v>
          </cell>
          <cell r="CL250">
            <v>0.45454545454545453</v>
          </cell>
        </row>
        <row r="251">
          <cell r="D251" t="str">
            <v>TOT.  LOADING  E =</v>
          </cell>
          <cell r="F251">
            <v>2.9562541039892656</v>
          </cell>
          <cell r="H251" t="str">
            <v>HOURS</v>
          </cell>
          <cell r="J251" t="str">
            <v>BY =</v>
          </cell>
          <cell r="K251">
            <v>0.35504296698326548</v>
          </cell>
        </row>
        <row r="254">
          <cell r="A254" t="str">
            <v>LINE H - 1200 T</v>
          </cell>
        </row>
        <row r="255">
          <cell r="A255">
            <v>1</v>
          </cell>
          <cell r="B255" t="str">
            <v>CO</v>
          </cell>
          <cell r="C255" t="str">
            <v>*</v>
          </cell>
          <cell r="D255" t="str">
            <v>53811-0B020</v>
          </cell>
          <cell r="E255" t="str">
            <v>PANEL, FR FENDER, RH</v>
          </cell>
          <cell r="F255">
            <v>1</v>
          </cell>
          <cell r="G255">
            <v>1</v>
          </cell>
          <cell r="H255">
            <v>1</v>
          </cell>
          <cell r="I255">
            <v>1</v>
          </cell>
          <cell r="J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1</v>
          </cell>
          <cell r="R255">
            <v>1</v>
          </cell>
          <cell r="S255">
            <v>1</v>
          </cell>
          <cell r="T255">
            <v>1</v>
          </cell>
          <cell r="U255">
            <v>1</v>
          </cell>
          <cell r="V255">
            <v>1</v>
          </cell>
          <cell r="W255">
            <v>1</v>
          </cell>
          <cell r="X255">
            <v>1</v>
          </cell>
          <cell r="Y255">
            <v>1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K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>
            <v>1</v>
          </cell>
          <cell r="AR255">
            <v>1</v>
          </cell>
          <cell r="AS255">
            <v>1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1</v>
          </cell>
          <cell r="AZ255">
            <v>1</v>
          </cell>
          <cell r="BA255">
            <v>1</v>
          </cell>
          <cell r="BB255">
            <v>1</v>
          </cell>
          <cell r="BC255">
            <v>1</v>
          </cell>
          <cell r="CK255">
            <v>1</v>
          </cell>
          <cell r="CL255">
            <v>4</v>
          </cell>
          <cell r="CM255">
            <v>0.47729789590254706</v>
          </cell>
          <cell r="CN255">
            <v>470</v>
          </cell>
          <cell r="CO255">
            <v>21.363636363636363</v>
          </cell>
          <cell r="CP255">
            <v>990</v>
          </cell>
          <cell r="CQ255">
            <v>45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1460</v>
          </cell>
          <cell r="CY255">
            <v>66.36363636363636</v>
          </cell>
          <cell r="CZ255">
            <v>695</v>
          </cell>
          <cell r="DA255">
            <v>31.59090909090909</v>
          </cell>
          <cell r="DB255">
            <v>2155</v>
          </cell>
          <cell r="DC255">
            <v>97.954545454545453</v>
          </cell>
        </row>
        <row r="256">
          <cell r="A256">
            <v>2</v>
          </cell>
          <cell r="B256" t="str">
            <v>CO</v>
          </cell>
          <cell r="C256" t="str">
            <v>H</v>
          </cell>
          <cell r="D256" t="str">
            <v>53812-0B020</v>
          </cell>
          <cell r="E256" t="str">
            <v>PANEL, FR FENDER, LH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J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1</v>
          </cell>
          <cell r="R256">
            <v>1</v>
          </cell>
          <cell r="S256">
            <v>1</v>
          </cell>
          <cell r="T256">
            <v>1</v>
          </cell>
          <cell r="U256">
            <v>1</v>
          </cell>
          <cell r="V256">
            <v>1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1</v>
          </cell>
          <cell r="AC256">
            <v>1</v>
          </cell>
          <cell r="AD256">
            <v>1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1</v>
          </cell>
          <cell r="AK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>
            <v>1</v>
          </cell>
          <cell r="AR256">
            <v>1</v>
          </cell>
          <cell r="AS256">
            <v>1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CK256">
            <v>1</v>
          </cell>
          <cell r="CL256">
            <v>4</v>
          </cell>
          <cell r="CM256">
            <v>0.47729789590254706</v>
          </cell>
          <cell r="CN256">
            <v>470</v>
          </cell>
          <cell r="CO256">
            <v>21.363636363636363</v>
          </cell>
          <cell r="CP256">
            <v>990</v>
          </cell>
          <cell r="CQ256">
            <v>45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1460</v>
          </cell>
          <cell r="CY256">
            <v>66.36363636363636</v>
          </cell>
          <cell r="CZ256">
            <v>695</v>
          </cell>
          <cell r="DA256">
            <v>31.59090909090909</v>
          </cell>
          <cell r="DB256">
            <v>2155</v>
          </cell>
          <cell r="DC256">
            <v>97.954545454545453</v>
          </cell>
        </row>
        <row r="257">
          <cell r="A257">
            <v>3</v>
          </cell>
          <cell r="B257" t="str">
            <v>CO</v>
          </cell>
          <cell r="C257" t="str">
            <v>A-H</v>
          </cell>
          <cell r="D257" t="str">
            <v>61111-0B010</v>
          </cell>
          <cell r="E257" t="str">
            <v>PANEL, FR SIDE, OUTER RH</v>
          </cell>
          <cell r="F257">
            <v>1</v>
          </cell>
          <cell r="G257">
            <v>1</v>
          </cell>
          <cell r="H257">
            <v>1</v>
          </cell>
          <cell r="I257">
            <v>1</v>
          </cell>
          <cell r="J257">
            <v>1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Q257">
            <v>1</v>
          </cell>
          <cell r="R257">
            <v>1</v>
          </cell>
          <cell r="S257">
            <v>1</v>
          </cell>
          <cell r="T257">
            <v>1</v>
          </cell>
          <cell r="U257">
            <v>1</v>
          </cell>
          <cell r="V257">
            <v>1</v>
          </cell>
          <cell r="W257">
            <v>1</v>
          </cell>
          <cell r="X257">
            <v>1</v>
          </cell>
          <cell r="Y257">
            <v>1</v>
          </cell>
          <cell r="Z257">
            <v>1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1</v>
          </cell>
          <cell r="AZ257">
            <v>1</v>
          </cell>
          <cell r="BA257">
            <v>1</v>
          </cell>
          <cell r="BB257">
            <v>1</v>
          </cell>
          <cell r="BC257">
            <v>1</v>
          </cell>
          <cell r="CK257">
            <v>0.5</v>
          </cell>
          <cell r="CL257">
            <v>3</v>
          </cell>
          <cell r="CM257">
            <v>0.18660022148394242</v>
          </cell>
          <cell r="CN257">
            <v>0</v>
          </cell>
          <cell r="CO257">
            <v>0</v>
          </cell>
          <cell r="CP257">
            <v>495</v>
          </cell>
          <cell r="CQ257">
            <v>22.5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495</v>
          </cell>
          <cell r="CY257">
            <v>22.5</v>
          </cell>
          <cell r="CZ257">
            <v>347.5</v>
          </cell>
          <cell r="DA257">
            <v>15.795454545454545</v>
          </cell>
          <cell r="DB257">
            <v>842.5</v>
          </cell>
          <cell r="DC257">
            <v>38.295454545454547</v>
          </cell>
        </row>
        <row r="258">
          <cell r="A258">
            <v>4</v>
          </cell>
          <cell r="B258" t="str">
            <v>CO</v>
          </cell>
          <cell r="C258" t="str">
            <v>A-H</v>
          </cell>
          <cell r="D258" t="str">
            <v>61112-0B010</v>
          </cell>
          <cell r="E258" t="str">
            <v>PANEL, FR SIDE, OUTER LH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Q258">
            <v>1</v>
          </cell>
          <cell r="R258">
            <v>1</v>
          </cell>
          <cell r="S258">
            <v>1</v>
          </cell>
          <cell r="T258">
            <v>1</v>
          </cell>
          <cell r="U258">
            <v>1</v>
          </cell>
          <cell r="V258">
            <v>1</v>
          </cell>
          <cell r="W258">
            <v>1</v>
          </cell>
          <cell r="X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1</v>
          </cell>
          <cell r="AZ258">
            <v>1</v>
          </cell>
          <cell r="BA258">
            <v>1</v>
          </cell>
          <cell r="BB258">
            <v>1</v>
          </cell>
          <cell r="BC258">
            <v>1</v>
          </cell>
          <cell r="CK258">
            <v>0.5</v>
          </cell>
          <cell r="CM258">
            <v>0.18660022148394242</v>
          </cell>
          <cell r="CN258">
            <v>0</v>
          </cell>
          <cell r="CO258">
            <v>0</v>
          </cell>
          <cell r="CP258">
            <v>495</v>
          </cell>
          <cell r="CQ258">
            <v>22.5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495</v>
          </cell>
          <cell r="CY258">
            <v>22.5</v>
          </cell>
          <cell r="CZ258">
            <v>347.5</v>
          </cell>
          <cell r="DA258">
            <v>15.795454545454545</v>
          </cell>
          <cell r="DB258">
            <v>842.5</v>
          </cell>
          <cell r="DC258">
            <v>38.295454545454547</v>
          </cell>
        </row>
        <row r="259">
          <cell r="A259">
            <v>5</v>
          </cell>
          <cell r="B259" t="str">
            <v>CO</v>
          </cell>
          <cell r="C259" t="str">
            <v>H</v>
          </cell>
          <cell r="D259" t="str">
            <v>61611-0B020.40</v>
          </cell>
          <cell r="E259" t="str">
            <v>PANEL, QUARTER OUTER, RH (LONG)</v>
          </cell>
          <cell r="O259">
            <v>1</v>
          </cell>
          <cell r="P259">
            <v>1</v>
          </cell>
          <cell r="Q259">
            <v>1</v>
          </cell>
          <cell r="R259">
            <v>1</v>
          </cell>
          <cell r="S259">
            <v>1</v>
          </cell>
          <cell r="T259">
            <v>1</v>
          </cell>
          <cell r="U259">
            <v>1</v>
          </cell>
          <cell r="AB259">
            <v>1</v>
          </cell>
          <cell r="AC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1</v>
          </cell>
          <cell r="AZ259">
            <v>1</v>
          </cell>
          <cell r="BA259">
            <v>1</v>
          </cell>
          <cell r="BB259">
            <v>1</v>
          </cell>
          <cell r="BC259">
            <v>1</v>
          </cell>
          <cell r="CK259">
            <v>1</v>
          </cell>
          <cell r="CL259">
            <v>4</v>
          </cell>
          <cell r="CM259">
            <v>0.21926910299003322</v>
          </cell>
          <cell r="CN259">
            <v>0</v>
          </cell>
          <cell r="CO259">
            <v>0</v>
          </cell>
          <cell r="CP259">
            <v>990</v>
          </cell>
          <cell r="CQ259">
            <v>45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990</v>
          </cell>
          <cell r="CY259">
            <v>45</v>
          </cell>
          <cell r="CZ259">
            <v>0</v>
          </cell>
          <cell r="DA259">
            <v>0</v>
          </cell>
          <cell r="DB259">
            <v>990</v>
          </cell>
          <cell r="DC259">
            <v>45</v>
          </cell>
        </row>
        <row r="260">
          <cell r="A260">
            <v>6</v>
          </cell>
          <cell r="B260" t="str">
            <v>CO</v>
          </cell>
          <cell r="C260" t="str">
            <v>H</v>
          </cell>
          <cell r="D260" t="str">
            <v>61612-0B020.40</v>
          </cell>
          <cell r="E260" t="str">
            <v>PANEL, QUARTER OUTER, LH (LONG)</v>
          </cell>
          <cell r="O260">
            <v>1</v>
          </cell>
          <cell r="P260">
            <v>1</v>
          </cell>
          <cell r="Q260">
            <v>1</v>
          </cell>
          <cell r="R260">
            <v>1</v>
          </cell>
          <cell r="S260">
            <v>1</v>
          </cell>
          <cell r="T260">
            <v>1</v>
          </cell>
          <cell r="U260">
            <v>1</v>
          </cell>
          <cell r="AB260">
            <v>1</v>
          </cell>
          <cell r="AC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1</v>
          </cell>
          <cell r="AZ260">
            <v>1</v>
          </cell>
          <cell r="BA260">
            <v>1</v>
          </cell>
          <cell r="BB260">
            <v>1</v>
          </cell>
          <cell r="BC260">
            <v>1</v>
          </cell>
          <cell r="CK260">
            <v>1</v>
          </cell>
          <cell r="CL260">
            <v>4</v>
          </cell>
          <cell r="CM260">
            <v>0.21926910299003322</v>
          </cell>
          <cell r="CN260">
            <v>0</v>
          </cell>
          <cell r="CO260">
            <v>0</v>
          </cell>
          <cell r="CP260">
            <v>990</v>
          </cell>
          <cell r="CQ260">
            <v>45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990</v>
          </cell>
          <cell r="CY260">
            <v>45</v>
          </cell>
          <cell r="CZ260">
            <v>0</v>
          </cell>
          <cell r="DA260">
            <v>0</v>
          </cell>
          <cell r="DB260">
            <v>990</v>
          </cell>
          <cell r="DC260">
            <v>45</v>
          </cell>
        </row>
        <row r="261">
          <cell r="A261">
            <v>7</v>
          </cell>
          <cell r="B261" t="str">
            <v>CO</v>
          </cell>
          <cell r="C261" t="str">
            <v>H</v>
          </cell>
          <cell r="D261" t="str">
            <v>63111-0B020</v>
          </cell>
          <cell r="E261" t="str">
            <v>PNL ROOF (LONG)</v>
          </cell>
          <cell r="O261">
            <v>1</v>
          </cell>
          <cell r="P261">
            <v>1</v>
          </cell>
          <cell r="Q261">
            <v>1</v>
          </cell>
          <cell r="R261">
            <v>1</v>
          </cell>
          <cell r="S261">
            <v>1</v>
          </cell>
          <cell r="T261">
            <v>1</v>
          </cell>
          <cell r="U261">
            <v>1</v>
          </cell>
          <cell r="AB261">
            <v>1</v>
          </cell>
          <cell r="AC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1</v>
          </cell>
          <cell r="AZ261">
            <v>1</v>
          </cell>
          <cell r="BA261">
            <v>1</v>
          </cell>
          <cell r="BB261">
            <v>1</v>
          </cell>
          <cell r="BC261">
            <v>1</v>
          </cell>
          <cell r="CK261">
            <v>1</v>
          </cell>
          <cell r="CL261">
            <v>3</v>
          </cell>
          <cell r="CM261">
            <v>0.21926910299003322</v>
          </cell>
          <cell r="CN261">
            <v>0</v>
          </cell>
          <cell r="CO261">
            <v>0</v>
          </cell>
          <cell r="CP261">
            <v>990</v>
          </cell>
          <cell r="CQ261">
            <v>45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990</v>
          </cell>
          <cell r="CY261">
            <v>45</v>
          </cell>
          <cell r="CZ261">
            <v>0</v>
          </cell>
          <cell r="DA261">
            <v>0</v>
          </cell>
          <cell r="DB261">
            <v>990</v>
          </cell>
          <cell r="DC261">
            <v>45</v>
          </cell>
        </row>
        <row r="262">
          <cell r="A262">
            <v>8</v>
          </cell>
          <cell r="B262" t="str">
            <v>CO</v>
          </cell>
          <cell r="C262" t="str">
            <v>AA</v>
          </cell>
          <cell r="D262" t="str">
            <v>65621-YZC10</v>
          </cell>
          <cell r="E262" t="str">
            <v>PNL,SIDE,LH</v>
          </cell>
          <cell r="F262">
            <v>1</v>
          </cell>
          <cell r="H262">
            <v>1</v>
          </cell>
          <cell r="CK262">
            <v>1</v>
          </cell>
          <cell r="CL262">
            <v>4</v>
          </cell>
          <cell r="CM262">
            <v>0.15393133997785161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695</v>
          </cell>
          <cell r="DA262">
            <v>31.59090909090909</v>
          </cell>
          <cell r="DB262">
            <v>695</v>
          </cell>
          <cell r="DC262">
            <v>31.59090909090909</v>
          </cell>
        </row>
        <row r="263">
          <cell r="A263">
            <v>9</v>
          </cell>
          <cell r="B263" t="str">
            <v>CO</v>
          </cell>
          <cell r="C263" t="str">
            <v>AA</v>
          </cell>
          <cell r="D263" t="str">
            <v>65622-YZC10</v>
          </cell>
          <cell r="E263" t="str">
            <v>PNL,SIDE,LH</v>
          </cell>
          <cell r="F263">
            <v>1</v>
          </cell>
          <cell r="H263">
            <v>1</v>
          </cell>
          <cell r="CK263">
            <v>1</v>
          </cell>
          <cell r="CL263">
            <v>4</v>
          </cell>
          <cell r="CM263">
            <v>0.15393133997785161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695</v>
          </cell>
          <cell r="DA263">
            <v>31.59090909090909</v>
          </cell>
          <cell r="DB263">
            <v>695</v>
          </cell>
          <cell r="DC263">
            <v>31.59090909090909</v>
          </cell>
        </row>
        <row r="264">
          <cell r="A264">
            <v>10</v>
          </cell>
          <cell r="B264" t="str">
            <v>CO</v>
          </cell>
          <cell r="C264" t="str">
            <v>H</v>
          </cell>
          <cell r="D264" t="str">
            <v>67111-0B010</v>
          </cell>
          <cell r="E264" t="str">
            <v>PANEL, FR DOOR, OUTSIDE RH</v>
          </cell>
          <cell r="F264">
            <v>1</v>
          </cell>
          <cell r="G264">
            <v>1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  <cell r="X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E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1</v>
          </cell>
          <cell r="AZ264">
            <v>1</v>
          </cell>
          <cell r="BA264">
            <v>1</v>
          </cell>
          <cell r="BB264">
            <v>1</v>
          </cell>
          <cell r="BC264">
            <v>1</v>
          </cell>
          <cell r="CK264">
            <v>0.5</v>
          </cell>
          <cell r="CL264">
            <v>4</v>
          </cell>
          <cell r="CM264">
            <v>0.18660022148394242</v>
          </cell>
          <cell r="CN264">
            <v>0</v>
          </cell>
          <cell r="CO264">
            <v>0</v>
          </cell>
          <cell r="CP264">
            <v>495</v>
          </cell>
          <cell r="CQ264">
            <v>22.5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495</v>
          </cell>
          <cell r="CY264">
            <v>22.5</v>
          </cell>
          <cell r="CZ264">
            <v>347.5</v>
          </cell>
          <cell r="DA264">
            <v>15.795454545454545</v>
          </cell>
          <cell r="DB264">
            <v>842.5</v>
          </cell>
          <cell r="DC264">
            <v>38.295454545454547</v>
          </cell>
        </row>
        <row r="265">
          <cell r="A265">
            <v>11</v>
          </cell>
          <cell r="B265" t="str">
            <v>CO</v>
          </cell>
          <cell r="C265" t="str">
            <v>H</v>
          </cell>
          <cell r="D265" t="str">
            <v>67112-0B010</v>
          </cell>
          <cell r="E265" t="str">
            <v>PANEL, FR DOOR, OUTSIDE LH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1</v>
          </cell>
          <cell r="S265">
            <v>1</v>
          </cell>
          <cell r="T265">
            <v>1</v>
          </cell>
          <cell r="U265">
            <v>1</v>
          </cell>
          <cell r="V265">
            <v>1</v>
          </cell>
          <cell r="W265">
            <v>1</v>
          </cell>
          <cell r="X265">
            <v>1</v>
          </cell>
          <cell r="Y265">
            <v>1</v>
          </cell>
          <cell r="Z265">
            <v>1</v>
          </cell>
          <cell r="AA265">
            <v>1</v>
          </cell>
          <cell r="AB265">
            <v>1</v>
          </cell>
          <cell r="AC265">
            <v>1</v>
          </cell>
          <cell r="AD265">
            <v>1</v>
          </cell>
          <cell r="AE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1</v>
          </cell>
          <cell r="AZ265">
            <v>1</v>
          </cell>
          <cell r="BA265">
            <v>1</v>
          </cell>
          <cell r="BB265">
            <v>1</v>
          </cell>
          <cell r="BC265">
            <v>1</v>
          </cell>
          <cell r="CK265">
            <v>0.5</v>
          </cell>
          <cell r="CM265">
            <v>0.18660022148394242</v>
          </cell>
          <cell r="CN265">
            <v>0</v>
          </cell>
          <cell r="CO265">
            <v>0</v>
          </cell>
          <cell r="CP265">
            <v>495</v>
          </cell>
          <cell r="CQ265">
            <v>22.5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495</v>
          </cell>
          <cell r="CY265">
            <v>22.5</v>
          </cell>
          <cell r="CZ265">
            <v>347.5</v>
          </cell>
          <cell r="DA265">
            <v>15.795454545454545</v>
          </cell>
          <cell r="DB265">
            <v>842.5</v>
          </cell>
          <cell r="DC265">
            <v>38.295454545454547</v>
          </cell>
        </row>
        <row r="266">
          <cell r="A266">
            <v>12</v>
          </cell>
          <cell r="B266" t="str">
            <v>CO</v>
          </cell>
          <cell r="C266" t="str">
            <v>H</v>
          </cell>
          <cell r="D266" t="str">
            <v>67113-0B020</v>
          </cell>
          <cell r="E266" t="str">
            <v>PANEL, RR DOOR, OUTSIDE RH (LONG)</v>
          </cell>
          <cell r="O266">
            <v>1</v>
          </cell>
          <cell r="P266">
            <v>1</v>
          </cell>
          <cell r="Q266">
            <v>1</v>
          </cell>
          <cell r="R266">
            <v>1</v>
          </cell>
          <cell r="S266">
            <v>1</v>
          </cell>
          <cell r="T266">
            <v>1</v>
          </cell>
          <cell r="U266">
            <v>1</v>
          </cell>
          <cell r="AB266">
            <v>1</v>
          </cell>
          <cell r="AC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1</v>
          </cell>
          <cell r="AZ266">
            <v>1</v>
          </cell>
          <cell r="BA266">
            <v>1</v>
          </cell>
          <cell r="BB266">
            <v>1</v>
          </cell>
          <cell r="BC266">
            <v>1</v>
          </cell>
          <cell r="CK266">
            <v>0.5</v>
          </cell>
          <cell r="CL266">
            <v>4</v>
          </cell>
          <cell r="CM266">
            <v>0.10963455149501661</v>
          </cell>
          <cell r="CN266">
            <v>0</v>
          </cell>
          <cell r="CO266">
            <v>0</v>
          </cell>
          <cell r="CP266">
            <v>495</v>
          </cell>
          <cell r="CQ266">
            <v>22.5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495</v>
          </cell>
          <cell r="CY266">
            <v>22.5</v>
          </cell>
          <cell r="CZ266">
            <v>0</v>
          </cell>
          <cell r="DA266">
            <v>0</v>
          </cell>
          <cell r="DB266">
            <v>495</v>
          </cell>
          <cell r="DC266">
            <v>22.5</v>
          </cell>
        </row>
        <row r="267">
          <cell r="A267">
            <v>13</v>
          </cell>
          <cell r="B267" t="str">
            <v>CO</v>
          </cell>
          <cell r="C267" t="str">
            <v>H</v>
          </cell>
          <cell r="D267" t="str">
            <v>67114-0B020</v>
          </cell>
          <cell r="E267" t="str">
            <v>PANEL, RR DOOR, OUTSIDE, LH (LONG)</v>
          </cell>
          <cell r="O267">
            <v>1</v>
          </cell>
          <cell r="P267">
            <v>1</v>
          </cell>
          <cell r="Q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AB267">
            <v>1</v>
          </cell>
          <cell r="AC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1</v>
          </cell>
          <cell r="AZ267">
            <v>1</v>
          </cell>
          <cell r="BA267">
            <v>1</v>
          </cell>
          <cell r="BB267">
            <v>1</v>
          </cell>
          <cell r="BC267">
            <v>1</v>
          </cell>
          <cell r="CK267">
            <v>0.5</v>
          </cell>
          <cell r="CM267">
            <v>0.10963455149501661</v>
          </cell>
          <cell r="CN267">
            <v>0</v>
          </cell>
          <cell r="CO267">
            <v>0</v>
          </cell>
          <cell r="CP267">
            <v>495</v>
          </cell>
          <cell r="CQ267">
            <v>22.5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495</v>
          </cell>
          <cell r="CY267">
            <v>22.5</v>
          </cell>
          <cell r="CZ267">
            <v>0</v>
          </cell>
          <cell r="DA267">
            <v>0</v>
          </cell>
          <cell r="DB267">
            <v>495</v>
          </cell>
          <cell r="DC267">
            <v>22.5</v>
          </cell>
        </row>
        <row r="268">
          <cell r="A268">
            <v>14</v>
          </cell>
          <cell r="B268" t="str">
            <v>CO</v>
          </cell>
          <cell r="C268" t="str">
            <v>H</v>
          </cell>
          <cell r="D268" t="str">
            <v>67115-0B210</v>
          </cell>
          <cell r="E268" t="str">
            <v>PANEL, BACK DOOR, OUTER</v>
          </cell>
          <cell r="F268" t="str">
            <v/>
          </cell>
          <cell r="H268" t="str">
            <v/>
          </cell>
          <cell r="J268" t="str">
            <v/>
          </cell>
          <cell r="L268">
            <v>1</v>
          </cell>
          <cell r="M268">
            <v>1</v>
          </cell>
          <cell r="N268" t="str">
            <v/>
          </cell>
          <cell r="P268" t="str">
            <v/>
          </cell>
          <cell r="Q268">
            <v>1</v>
          </cell>
          <cell r="R268">
            <v>1</v>
          </cell>
          <cell r="T268" t="str">
            <v/>
          </cell>
          <cell r="U268">
            <v>1</v>
          </cell>
          <cell r="V268" t="str">
            <v/>
          </cell>
          <cell r="X268" t="str">
            <v/>
          </cell>
          <cell r="Z268" t="str">
            <v/>
          </cell>
          <cell r="AA268">
            <v>1</v>
          </cell>
          <cell r="AB268">
            <v>1</v>
          </cell>
          <cell r="AC268">
            <v>1</v>
          </cell>
          <cell r="AD268">
            <v>1</v>
          </cell>
          <cell r="AE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1</v>
          </cell>
          <cell r="AJ268" t="str">
            <v/>
          </cell>
          <cell r="AL268" t="str">
            <v/>
          </cell>
          <cell r="AN268" t="str">
            <v/>
          </cell>
          <cell r="AP268" t="str">
            <v/>
          </cell>
          <cell r="AR268" t="str">
            <v/>
          </cell>
          <cell r="AT268" t="str">
            <v/>
          </cell>
          <cell r="AZ268">
            <v>1</v>
          </cell>
          <cell r="BA268">
            <v>1</v>
          </cell>
          <cell r="BB268">
            <v>1</v>
          </cell>
          <cell r="BC268">
            <v>1</v>
          </cell>
          <cell r="CK268">
            <v>1</v>
          </cell>
          <cell r="CL268">
            <v>4</v>
          </cell>
          <cell r="CM268">
            <v>0.21926910299003322</v>
          </cell>
          <cell r="CN268">
            <v>0</v>
          </cell>
          <cell r="CO268">
            <v>0</v>
          </cell>
          <cell r="CP268">
            <v>990</v>
          </cell>
          <cell r="CQ268">
            <v>45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990</v>
          </cell>
          <cell r="CY268">
            <v>45</v>
          </cell>
          <cell r="CZ268">
            <v>0</v>
          </cell>
          <cell r="DA268">
            <v>0</v>
          </cell>
          <cell r="DB268">
            <v>990</v>
          </cell>
          <cell r="DC268">
            <v>45</v>
          </cell>
        </row>
        <row r="269">
          <cell r="A269">
            <v>15</v>
          </cell>
          <cell r="B269" t="str">
            <v>CO</v>
          </cell>
          <cell r="C269" t="str">
            <v>H</v>
          </cell>
          <cell r="D269" t="str">
            <v>67143-0B100</v>
          </cell>
          <cell r="E269" t="str">
            <v>PANEL, RR DOOR, INSIDE RH</v>
          </cell>
          <cell r="F269" t="str">
            <v/>
          </cell>
          <cell r="H269" t="str">
            <v/>
          </cell>
          <cell r="J269" t="str">
            <v/>
          </cell>
          <cell r="L269" t="str">
            <v/>
          </cell>
          <cell r="N269" t="str">
            <v/>
          </cell>
          <cell r="P269" t="str">
            <v/>
          </cell>
          <cell r="Q269">
            <v>1</v>
          </cell>
          <cell r="R269">
            <v>1</v>
          </cell>
          <cell r="S269">
            <v>0</v>
          </cell>
          <cell r="T269">
            <v>0</v>
          </cell>
          <cell r="U269">
            <v>1</v>
          </cell>
          <cell r="V269" t="str">
            <v/>
          </cell>
          <cell r="X269" t="str">
            <v/>
          </cell>
          <cell r="Z269" t="str">
            <v/>
          </cell>
          <cell r="AB269">
            <v>1</v>
          </cell>
          <cell r="AC269">
            <v>1</v>
          </cell>
          <cell r="AD269" t="str">
            <v/>
          </cell>
          <cell r="AF269">
            <v>1</v>
          </cell>
          <cell r="AG269">
            <v>1</v>
          </cell>
          <cell r="AH269">
            <v>1</v>
          </cell>
          <cell r="AI269">
            <v>1</v>
          </cell>
          <cell r="AJ269" t="str">
            <v/>
          </cell>
          <cell r="AL269" t="str">
            <v/>
          </cell>
          <cell r="AN269" t="str">
            <v/>
          </cell>
          <cell r="AZ269">
            <v>1</v>
          </cell>
          <cell r="BA269">
            <v>1</v>
          </cell>
          <cell r="BB269">
            <v>1</v>
          </cell>
          <cell r="BC269">
            <v>1</v>
          </cell>
          <cell r="CK269">
            <v>0.5</v>
          </cell>
          <cell r="CM269">
            <v>0.10963455149501661</v>
          </cell>
          <cell r="CN269">
            <v>0</v>
          </cell>
          <cell r="CO269">
            <v>0</v>
          </cell>
          <cell r="CP269">
            <v>495</v>
          </cell>
          <cell r="CQ269">
            <v>22.5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495</v>
          </cell>
          <cell r="CY269">
            <v>22.5</v>
          </cell>
          <cell r="CZ269">
            <v>0</v>
          </cell>
          <cell r="DA269">
            <v>0</v>
          </cell>
          <cell r="DB269">
            <v>495</v>
          </cell>
          <cell r="DC269">
            <v>22.5</v>
          </cell>
        </row>
        <row r="270">
          <cell r="A270">
            <v>16</v>
          </cell>
          <cell r="B270" t="str">
            <v>CO</v>
          </cell>
          <cell r="C270" t="str">
            <v>H</v>
          </cell>
          <cell r="D270" t="str">
            <v>67144-0B100</v>
          </cell>
          <cell r="E270" t="str">
            <v>PANEL, RR DOOR, INSIDE LH</v>
          </cell>
          <cell r="F270" t="str">
            <v/>
          </cell>
          <cell r="H270" t="str">
            <v/>
          </cell>
          <cell r="J270" t="str">
            <v/>
          </cell>
          <cell r="L270" t="str">
            <v/>
          </cell>
          <cell r="N270" t="str">
            <v/>
          </cell>
          <cell r="P270" t="str">
            <v/>
          </cell>
          <cell r="Q270">
            <v>1</v>
          </cell>
          <cell r="R270">
            <v>1</v>
          </cell>
          <cell r="S270">
            <v>0</v>
          </cell>
          <cell r="T270">
            <v>0</v>
          </cell>
          <cell r="U270">
            <v>1</v>
          </cell>
          <cell r="V270" t="str">
            <v/>
          </cell>
          <cell r="X270" t="str">
            <v/>
          </cell>
          <cell r="Z270" t="str">
            <v/>
          </cell>
          <cell r="AB270">
            <v>1</v>
          </cell>
          <cell r="AC270">
            <v>1</v>
          </cell>
          <cell r="AD270" t="str">
            <v/>
          </cell>
          <cell r="AF270">
            <v>1</v>
          </cell>
          <cell r="AG270">
            <v>1</v>
          </cell>
          <cell r="AH270">
            <v>1</v>
          </cell>
          <cell r="AI270">
            <v>1</v>
          </cell>
          <cell r="AJ270" t="str">
            <v/>
          </cell>
          <cell r="AL270" t="str">
            <v/>
          </cell>
          <cell r="AN270" t="str">
            <v/>
          </cell>
          <cell r="AZ270">
            <v>1</v>
          </cell>
          <cell r="BA270">
            <v>1</v>
          </cell>
          <cell r="BB270">
            <v>1</v>
          </cell>
          <cell r="BC270">
            <v>1</v>
          </cell>
          <cell r="CK270">
            <v>0.5</v>
          </cell>
          <cell r="CM270">
            <v>0.10963455149501661</v>
          </cell>
          <cell r="CN270">
            <v>0</v>
          </cell>
          <cell r="CO270">
            <v>0</v>
          </cell>
          <cell r="CP270">
            <v>495</v>
          </cell>
          <cell r="CQ270">
            <v>22.5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495</v>
          </cell>
          <cell r="CY270">
            <v>22.5</v>
          </cell>
          <cell r="CZ270">
            <v>0</v>
          </cell>
          <cell r="DA270">
            <v>0</v>
          </cell>
          <cell r="DB270">
            <v>495</v>
          </cell>
          <cell r="DC270">
            <v>22.5</v>
          </cell>
        </row>
        <row r="271">
          <cell r="A271">
            <v>17</v>
          </cell>
          <cell r="B271" t="str">
            <v>CO</v>
          </cell>
          <cell r="C271" t="str">
            <v>H</v>
          </cell>
          <cell r="D271" t="str">
            <v>67149-0B050</v>
          </cell>
          <cell r="E271" t="str">
            <v>PNL BACK DOOR INNER</v>
          </cell>
          <cell r="J271">
            <v>1</v>
          </cell>
          <cell r="K271">
            <v>1</v>
          </cell>
          <cell r="N271">
            <v>1</v>
          </cell>
          <cell r="O271">
            <v>1</v>
          </cell>
          <cell r="P271">
            <v>1</v>
          </cell>
          <cell r="S271">
            <v>1</v>
          </cell>
          <cell r="T271">
            <v>1</v>
          </cell>
          <cell r="U271">
            <v>0</v>
          </cell>
          <cell r="Z271">
            <v>1</v>
          </cell>
          <cell r="AC271">
            <v>0</v>
          </cell>
          <cell r="AJ271" t="str">
            <v>PH</v>
          </cell>
          <cell r="AK271">
            <v>1</v>
          </cell>
          <cell r="AL271">
            <v>1</v>
          </cell>
          <cell r="AO271">
            <v>1</v>
          </cell>
          <cell r="AP271">
            <v>1</v>
          </cell>
          <cell r="AY271" t="str">
            <v>*</v>
          </cell>
          <cell r="BD271" t="str">
            <v>*</v>
          </cell>
          <cell r="BS271" t="str">
            <v>*</v>
          </cell>
          <cell r="CK271">
            <v>1</v>
          </cell>
          <cell r="CL271">
            <v>4</v>
          </cell>
          <cell r="CM271">
            <v>4.2081949058693245E-2</v>
          </cell>
          <cell r="CN271">
            <v>190</v>
          </cell>
          <cell r="CO271">
            <v>8.6363636363636367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190</v>
          </cell>
          <cell r="CY271">
            <v>8.6363636363636367</v>
          </cell>
          <cell r="CZ271">
            <v>0</v>
          </cell>
          <cell r="DA271">
            <v>0</v>
          </cell>
          <cell r="DB271">
            <v>190</v>
          </cell>
          <cell r="DC271">
            <v>8.6363636363636367</v>
          </cell>
        </row>
        <row r="272">
          <cell r="A272">
            <v>18</v>
          </cell>
          <cell r="B272" t="str">
            <v>CO</v>
          </cell>
          <cell r="C272" t="str">
            <v>H</v>
          </cell>
          <cell r="D272" t="str">
            <v>67149-0B060</v>
          </cell>
          <cell r="E272" t="str">
            <v>PNL BACK DOOR INNER</v>
          </cell>
          <cell r="L272">
            <v>1</v>
          </cell>
          <cell r="M272">
            <v>1</v>
          </cell>
          <cell r="Q272">
            <v>1</v>
          </cell>
          <cell r="R272">
            <v>1</v>
          </cell>
          <cell r="U272">
            <v>1</v>
          </cell>
          <cell r="AA272">
            <v>1</v>
          </cell>
          <cell r="AB272">
            <v>1</v>
          </cell>
          <cell r="AC272">
            <v>1</v>
          </cell>
          <cell r="AD272">
            <v>1</v>
          </cell>
          <cell r="AE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1</v>
          </cell>
          <cell r="AJ272" t="str">
            <v>PH</v>
          </cell>
          <cell r="AM272">
            <v>1</v>
          </cell>
          <cell r="AN272">
            <v>1</v>
          </cell>
          <cell r="AQ272">
            <v>1</v>
          </cell>
          <cell r="AR272">
            <v>1</v>
          </cell>
          <cell r="AS272">
            <v>1</v>
          </cell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1</v>
          </cell>
          <cell r="AY272" t="str">
            <v>*</v>
          </cell>
          <cell r="AZ272">
            <v>1</v>
          </cell>
          <cell r="BA272">
            <v>1</v>
          </cell>
          <cell r="BB272">
            <v>1</v>
          </cell>
          <cell r="BC272">
            <v>1</v>
          </cell>
          <cell r="BD272" t="str">
            <v>*</v>
          </cell>
          <cell r="BS272" t="str">
            <v>*</v>
          </cell>
          <cell r="CK272">
            <v>1</v>
          </cell>
          <cell r="CM272">
            <v>0.28128460686600221</v>
          </cell>
          <cell r="CN272">
            <v>280</v>
          </cell>
          <cell r="CO272">
            <v>12.727272727272727</v>
          </cell>
          <cell r="CP272">
            <v>990</v>
          </cell>
          <cell r="CQ272">
            <v>45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1270</v>
          </cell>
          <cell r="CY272">
            <v>57.727272727272727</v>
          </cell>
          <cell r="CZ272">
            <v>0</v>
          </cell>
          <cell r="DA272">
            <v>0</v>
          </cell>
          <cell r="DB272">
            <v>1270</v>
          </cell>
          <cell r="DC272">
            <v>57.727272727272727</v>
          </cell>
        </row>
        <row r="273">
          <cell r="B273">
            <v>2</v>
          </cell>
          <cell r="C273" t="str">
            <v>H</v>
          </cell>
          <cell r="D273" t="str">
            <v>67143-0B050</v>
          </cell>
          <cell r="E273" t="str">
            <v>PANEL, RR DOOR, INSIDE RH</v>
          </cell>
          <cell r="F273" t="str">
            <v/>
          </cell>
          <cell r="H273" t="str">
            <v/>
          </cell>
          <cell r="J273" t="str">
            <v/>
          </cell>
          <cell r="L273" t="str">
            <v/>
          </cell>
          <cell r="N273" t="str">
            <v/>
          </cell>
          <cell r="O273">
            <v>1</v>
          </cell>
          <cell r="P273">
            <v>1</v>
          </cell>
          <cell r="S273">
            <v>1</v>
          </cell>
          <cell r="T273">
            <v>1</v>
          </cell>
          <cell r="V273" t="str">
            <v/>
          </cell>
          <cell r="X273" t="str">
            <v/>
          </cell>
          <cell r="Z273" t="str">
            <v/>
          </cell>
          <cell r="AB273" t="str">
            <v/>
          </cell>
          <cell r="AD273" t="str">
            <v/>
          </cell>
          <cell r="AF273" t="str">
            <v/>
          </cell>
          <cell r="AH273" t="str">
            <v/>
          </cell>
          <cell r="AJ273" t="str">
            <v/>
          </cell>
          <cell r="AL273" t="str">
            <v/>
          </cell>
          <cell r="AN273" t="str">
            <v/>
          </cell>
          <cell r="AP273" t="str">
            <v/>
          </cell>
          <cell r="AR273" t="str">
            <v/>
          </cell>
          <cell r="AT273" t="str">
            <v/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CL273">
            <v>4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</row>
        <row r="274">
          <cell r="B274">
            <v>2</v>
          </cell>
          <cell r="C274" t="str">
            <v>H</v>
          </cell>
          <cell r="D274" t="str">
            <v>67143-0B080</v>
          </cell>
          <cell r="E274" t="str">
            <v>PANEL, RR DOOR, INSIDE RH</v>
          </cell>
          <cell r="F274" t="str">
            <v/>
          </cell>
          <cell r="H274" t="str">
            <v/>
          </cell>
          <cell r="J274">
            <v>1</v>
          </cell>
          <cell r="K274">
            <v>1</v>
          </cell>
          <cell r="L274" t="str">
            <v/>
          </cell>
          <cell r="N274">
            <v>1</v>
          </cell>
          <cell r="P274" t="str">
            <v/>
          </cell>
          <cell r="R274" t="str">
            <v/>
          </cell>
          <cell r="T274" t="str">
            <v/>
          </cell>
          <cell r="V274" t="str">
            <v/>
          </cell>
          <cell r="X274" t="str">
            <v/>
          </cell>
          <cell r="Z274">
            <v>1</v>
          </cell>
          <cell r="AB274" t="str">
            <v/>
          </cell>
          <cell r="AD274" t="str">
            <v/>
          </cell>
          <cell r="AF274" t="str">
            <v/>
          </cell>
          <cell r="AH274" t="str">
            <v/>
          </cell>
          <cell r="AJ274" t="str">
            <v/>
          </cell>
          <cell r="AL274" t="str">
            <v/>
          </cell>
          <cell r="AN274" t="str">
            <v/>
          </cell>
          <cell r="AP274" t="str">
            <v/>
          </cell>
          <cell r="AR274" t="str">
            <v/>
          </cell>
          <cell r="AT274" t="str">
            <v/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CL274">
            <v>4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</row>
        <row r="275">
          <cell r="B275">
            <v>2</v>
          </cell>
          <cell r="C275" t="str">
            <v>H</v>
          </cell>
          <cell r="D275" t="str">
            <v>67143-0B090</v>
          </cell>
          <cell r="E275" t="str">
            <v>PANEL, RR DOOR, INSIDE RH</v>
          </cell>
          <cell r="F275" t="str">
            <v/>
          </cell>
          <cell r="H275" t="str">
            <v/>
          </cell>
          <cell r="J275" t="str">
            <v/>
          </cell>
          <cell r="L275">
            <v>1</v>
          </cell>
          <cell r="M275">
            <v>1</v>
          </cell>
          <cell r="N275" t="str">
            <v/>
          </cell>
          <cell r="P275" t="str">
            <v/>
          </cell>
          <cell r="R275" t="str">
            <v/>
          </cell>
          <cell r="T275" t="str">
            <v/>
          </cell>
          <cell r="V275" t="str">
            <v/>
          </cell>
          <cell r="X275" t="str">
            <v/>
          </cell>
          <cell r="Z275" t="str">
            <v/>
          </cell>
          <cell r="AA275">
            <v>1</v>
          </cell>
          <cell r="AB275" t="str">
            <v/>
          </cell>
          <cell r="AD275">
            <v>1</v>
          </cell>
          <cell r="AE275">
            <v>1</v>
          </cell>
          <cell r="AF275" t="str">
            <v/>
          </cell>
          <cell r="AH275" t="str">
            <v/>
          </cell>
          <cell r="AJ275" t="str">
            <v/>
          </cell>
          <cell r="AL275" t="str">
            <v/>
          </cell>
          <cell r="AN275" t="str">
            <v/>
          </cell>
          <cell r="AP275" t="str">
            <v/>
          </cell>
          <cell r="AR275" t="str">
            <v/>
          </cell>
          <cell r="AT275" t="str">
            <v/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</row>
        <row r="276">
          <cell r="B276">
            <v>2</v>
          </cell>
          <cell r="C276" t="str">
            <v>H</v>
          </cell>
          <cell r="D276" t="str">
            <v>67144-0B050</v>
          </cell>
          <cell r="E276" t="str">
            <v>PANEL, RR DOOR, INSIDE LH</v>
          </cell>
          <cell r="F276" t="str">
            <v/>
          </cell>
          <cell r="H276" t="str">
            <v/>
          </cell>
          <cell r="J276" t="str">
            <v/>
          </cell>
          <cell r="L276" t="str">
            <v/>
          </cell>
          <cell r="N276" t="str">
            <v/>
          </cell>
          <cell r="O276">
            <v>1</v>
          </cell>
          <cell r="P276">
            <v>1</v>
          </cell>
          <cell r="S276">
            <v>1</v>
          </cell>
          <cell r="T276">
            <v>1</v>
          </cell>
          <cell r="V276" t="str">
            <v/>
          </cell>
          <cell r="X276" t="str">
            <v/>
          </cell>
          <cell r="Z276" t="str">
            <v/>
          </cell>
          <cell r="AB276" t="str">
            <v/>
          </cell>
          <cell r="AD276" t="str">
            <v/>
          </cell>
          <cell r="AF276" t="str">
            <v/>
          </cell>
          <cell r="AH276" t="str">
            <v/>
          </cell>
          <cell r="AJ276" t="str">
            <v/>
          </cell>
          <cell r="AL276" t="str">
            <v/>
          </cell>
          <cell r="AN276" t="str">
            <v/>
          </cell>
          <cell r="AP276" t="str">
            <v/>
          </cell>
          <cell r="AR276" t="str">
            <v/>
          </cell>
          <cell r="AT276" t="str">
            <v/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CL276">
            <v>4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</row>
        <row r="277">
          <cell r="B277">
            <v>2</v>
          </cell>
          <cell r="C277" t="str">
            <v>H</v>
          </cell>
          <cell r="D277" t="str">
            <v>67144-0B080</v>
          </cell>
          <cell r="E277" t="str">
            <v>PANEL, RR DOOR, INSIDE LH</v>
          </cell>
          <cell r="F277" t="str">
            <v/>
          </cell>
          <cell r="H277" t="str">
            <v/>
          </cell>
          <cell r="J277">
            <v>1</v>
          </cell>
          <cell r="K277">
            <v>1</v>
          </cell>
          <cell r="L277" t="str">
            <v/>
          </cell>
          <cell r="N277">
            <v>1</v>
          </cell>
          <cell r="P277" t="str">
            <v/>
          </cell>
          <cell r="R277" t="str">
            <v/>
          </cell>
          <cell r="T277" t="str">
            <v/>
          </cell>
          <cell r="V277" t="str">
            <v/>
          </cell>
          <cell r="X277" t="str">
            <v/>
          </cell>
          <cell r="Z277">
            <v>1</v>
          </cell>
          <cell r="AB277" t="str">
            <v/>
          </cell>
          <cell r="AD277" t="str">
            <v/>
          </cell>
          <cell r="AF277" t="str">
            <v/>
          </cell>
          <cell r="AH277" t="str">
            <v/>
          </cell>
          <cell r="AJ277" t="str">
            <v/>
          </cell>
          <cell r="AL277" t="str">
            <v/>
          </cell>
          <cell r="AN277" t="str">
            <v/>
          </cell>
          <cell r="AP277" t="str">
            <v/>
          </cell>
          <cell r="AR277" t="str">
            <v/>
          </cell>
          <cell r="AT277" t="str">
            <v/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CL277">
            <v>4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</row>
        <row r="278">
          <cell r="B278">
            <v>2</v>
          </cell>
          <cell r="C278" t="str">
            <v>H</v>
          </cell>
          <cell r="D278" t="str">
            <v>67144-0B090</v>
          </cell>
          <cell r="E278" t="str">
            <v>PANEL, RR DOOR, INSIDE LH</v>
          </cell>
          <cell r="F278" t="str">
            <v/>
          </cell>
          <cell r="H278" t="str">
            <v/>
          </cell>
          <cell r="J278" t="str">
            <v/>
          </cell>
          <cell r="L278">
            <v>1</v>
          </cell>
          <cell r="M278">
            <v>1</v>
          </cell>
          <cell r="N278" t="str">
            <v/>
          </cell>
          <cell r="P278" t="str">
            <v/>
          </cell>
          <cell r="R278" t="str">
            <v/>
          </cell>
          <cell r="T278" t="str">
            <v/>
          </cell>
          <cell r="V278" t="str">
            <v/>
          </cell>
          <cell r="X278" t="str">
            <v/>
          </cell>
          <cell r="Z278" t="str">
            <v/>
          </cell>
          <cell r="AA278">
            <v>1</v>
          </cell>
          <cell r="AB278" t="str">
            <v/>
          </cell>
          <cell r="AD278">
            <v>1</v>
          </cell>
          <cell r="AE278">
            <v>1</v>
          </cell>
          <cell r="AF278" t="str">
            <v/>
          </cell>
          <cell r="AH278" t="str">
            <v/>
          </cell>
          <cell r="AJ278" t="str">
            <v/>
          </cell>
          <cell r="AL278" t="str">
            <v/>
          </cell>
          <cell r="AN278" t="str">
            <v/>
          </cell>
          <cell r="AP278" t="str">
            <v/>
          </cell>
          <cell r="AR278" t="str">
            <v/>
          </cell>
          <cell r="AT278" t="str">
            <v/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</row>
        <row r="279">
          <cell r="B279">
            <v>4</v>
          </cell>
          <cell r="C279" t="str">
            <v>*</v>
          </cell>
          <cell r="D279" t="str">
            <v>58311-0B120</v>
          </cell>
          <cell r="E279" t="str">
            <v>PANEL, RR FLOOR</v>
          </cell>
          <cell r="F279" t="str">
            <v/>
          </cell>
          <cell r="H279" t="str">
            <v/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P279" t="str">
            <v/>
          </cell>
          <cell r="R279" t="str">
            <v/>
          </cell>
          <cell r="T279" t="str">
            <v/>
          </cell>
          <cell r="V279">
            <v>1</v>
          </cell>
          <cell r="W279">
            <v>1</v>
          </cell>
          <cell r="X279" t="str">
            <v/>
          </cell>
          <cell r="Z279">
            <v>1</v>
          </cell>
          <cell r="AA279">
            <v>1</v>
          </cell>
          <cell r="AB279" t="str">
            <v/>
          </cell>
          <cell r="AD279">
            <v>1</v>
          </cell>
          <cell r="AE279">
            <v>1</v>
          </cell>
          <cell r="AF279" t="str">
            <v/>
          </cell>
          <cell r="AH279" t="str">
            <v/>
          </cell>
          <cell r="AJ279" t="str">
            <v/>
          </cell>
          <cell r="AL279" t="str">
            <v/>
          </cell>
          <cell r="AN279" t="str">
            <v/>
          </cell>
          <cell r="AP279" t="str">
            <v/>
          </cell>
          <cell r="AR279" t="str">
            <v/>
          </cell>
          <cell r="AT279" t="str">
            <v/>
          </cell>
          <cell r="CL279">
            <v>3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</row>
        <row r="280">
          <cell r="B280">
            <v>4</v>
          </cell>
          <cell r="C280" t="str">
            <v>*</v>
          </cell>
          <cell r="D280" t="str">
            <v>58311-0B130</v>
          </cell>
          <cell r="E280" t="str">
            <v>PANEL, RR FLOOR</v>
          </cell>
          <cell r="F280" t="str">
            <v/>
          </cell>
          <cell r="H280" t="str">
            <v/>
          </cell>
          <cell r="J280" t="str">
            <v/>
          </cell>
          <cell r="L280" t="str">
            <v/>
          </cell>
          <cell r="N280" t="str">
            <v/>
          </cell>
          <cell r="O280">
            <v>1</v>
          </cell>
          <cell r="P280">
            <v>1</v>
          </cell>
          <cell r="Q280">
            <v>1</v>
          </cell>
          <cell r="R280">
            <v>1</v>
          </cell>
          <cell r="S280">
            <v>1</v>
          </cell>
          <cell r="T280">
            <v>1</v>
          </cell>
          <cell r="U280">
            <v>1</v>
          </cell>
          <cell r="V280" t="str">
            <v/>
          </cell>
          <cell r="X280">
            <v>1</v>
          </cell>
          <cell r="Y280">
            <v>1</v>
          </cell>
          <cell r="Z280" t="str">
            <v/>
          </cell>
          <cell r="AB280">
            <v>1</v>
          </cell>
          <cell r="AC280">
            <v>1</v>
          </cell>
          <cell r="AD280" t="str">
            <v/>
          </cell>
          <cell r="AF280">
            <v>1</v>
          </cell>
          <cell r="AG280">
            <v>1</v>
          </cell>
          <cell r="AH280">
            <v>1</v>
          </cell>
          <cell r="AI280">
            <v>1</v>
          </cell>
          <cell r="AJ280" t="str">
            <v/>
          </cell>
          <cell r="AL280" t="str">
            <v/>
          </cell>
          <cell r="AN280" t="str">
            <v/>
          </cell>
          <cell r="CL280">
            <v>3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</row>
        <row r="281">
          <cell r="B281">
            <v>4</v>
          </cell>
          <cell r="C281" t="str">
            <v>H</v>
          </cell>
          <cell r="D281" t="str">
            <v>67115-0B200</v>
          </cell>
          <cell r="E281" t="str">
            <v>PANEL, BACK DOOR, OUTER</v>
          </cell>
          <cell r="F281" t="str">
            <v/>
          </cell>
          <cell r="H281" t="str">
            <v/>
          </cell>
          <cell r="J281" t="str">
            <v/>
          </cell>
          <cell r="K281">
            <v>1</v>
          </cell>
          <cell r="L281" t="str">
            <v/>
          </cell>
          <cell r="N281" t="str">
            <v/>
          </cell>
          <cell r="P281">
            <v>1</v>
          </cell>
          <cell r="R281" t="str">
            <v/>
          </cell>
          <cell r="T281">
            <v>1</v>
          </cell>
          <cell r="V281" t="str">
            <v/>
          </cell>
          <cell r="X281" t="str">
            <v/>
          </cell>
          <cell r="Z281">
            <v>1</v>
          </cell>
          <cell r="AB281" t="str">
            <v/>
          </cell>
          <cell r="AD281" t="str">
            <v/>
          </cell>
          <cell r="AF281" t="str">
            <v/>
          </cell>
          <cell r="AH281" t="str">
            <v/>
          </cell>
          <cell r="AJ281" t="str">
            <v/>
          </cell>
          <cell r="AL281" t="str">
            <v/>
          </cell>
          <cell r="AN281" t="str">
            <v/>
          </cell>
          <cell r="AP281" t="str">
            <v/>
          </cell>
          <cell r="AR281" t="str">
            <v/>
          </cell>
          <cell r="AT281" t="str">
            <v/>
          </cell>
          <cell r="CL281">
            <v>4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</row>
        <row r="282">
          <cell r="B282">
            <v>4</v>
          </cell>
          <cell r="C282" t="str">
            <v>H</v>
          </cell>
          <cell r="D282" t="str">
            <v>67115-0B220</v>
          </cell>
          <cell r="E282" t="str">
            <v>PANEL, BACK DOOR, OUTER</v>
          </cell>
          <cell r="F282" t="str">
            <v/>
          </cell>
          <cell r="H282" t="str">
            <v/>
          </cell>
          <cell r="J282" t="str">
            <v/>
          </cell>
          <cell r="L282" t="str">
            <v/>
          </cell>
          <cell r="N282" t="str">
            <v/>
          </cell>
          <cell r="P282" t="str">
            <v/>
          </cell>
          <cell r="R282" t="str">
            <v/>
          </cell>
          <cell r="T282" t="str">
            <v/>
          </cell>
          <cell r="V282" t="str">
            <v/>
          </cell>
          <cell r="X282" t="str">
            <v/>
          </cell>
          <cell r="Z282" t="str">
            <v/>
          </cell>
          <cell r="AB282" t="str">
            <v/>
          </cell>
          <cell r="AC282">
            <v>1</v>
          </cell>
          <cell r="AD282" t="str">
            <v/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CL282">
            <v>4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</row>
        <row r="283">
          <cell r="B283" t="str">
            <v>H</v>
          </cell>
          <cell r="C283" t="str">
            <v>H</v>
          </cell>
          <cell r="D283" t="str">
            <v>61611-0B010.30</v>
          </cell>
          <cell r="E283" t="str">
            <v>PANEL, QUARTER OUTER, RH (SHORT)</v>
          </cell>
          <cell r="J283">
            <v>1</v>
          </cell>
          <cell r="K283">
            <v>1</v>
          </cell>
          <cell r="L283">
            <v>1</v>
          </cell>
          <cell r="M283">
            <v>1</v>
          </cell>
          <cell r="N283">
            <v>1</v>
          </cell>
          <cell r="Z283">
            <v>1</v>
          </cell>
          <cell r="AA283">
            <v>1</v>
          </cell>
          <cell r="AD283">
            <v>1</v>
          </cell>
          <cell r="AE283">
            <v>1</v>
          </cell>
          <cell r="CL283">
            <v>4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</row>
        <row r="284">
          <cell r="B284" t="str">
            <v>H</v>
          </cell>
          <cell r="C284" t="str">
            <v>H</v>
          </cell>
          <cell r="D284" t="str">
            <v>61612-0B010.30</v>
          </cell>
          <cell r="E284" t="str">
            <v>PANEL, QUARTER OUTER, LH (SHORT)</v>
          </cell>
          <cell r="J284">
            <v>1</v>
          </cell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Z284">
            <v>1</v>
          </cell>
          <cell r="AA284">
            <v>1</v>
          </cell>
          <cell r="AD284">
            <v>1</v>
          </cell>
          <cell r="AE284">
            <v>1</v>
          </cell>
          <cell r="CL284">
            <v>4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</row>
        <row r="285">
          <cell r="B285" t="str">
            <v>H</v>
          </cell>
          <cell r="C285" t="str">
            <v>H</v>
          </cell>
          <cell r="D285" t="str">
            <v>63111-0B040</v>
          </cell>
          <cell r="E285" t="str">
            <v>PNL ROOF (SHORT)</v>
          </cell>
          <cell r="J285">
            <v>1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Z285">
            <v>1</v>
          </cell>
          <cell r="AA285">
            <v>1</v>
          </cell>
          <cell r="AD285">
            <v>1</v>
          </cell>
          <cell r="AE285">
            <v>1</v>
          </cell>
          <cell r="CL285">
            <v>2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</row>
        <row r="286">
          <cell r="B286" t="str">
            <v>H</v>
          </cell>
          <cell r="C286" t="str">
            <v>H</v>
          </cell>
          <cell r="D286" t="str">
            <v>67113-0B010</v>
          </cell>
          <cell r="E286" t="str">
            <v>PANEL, RR DOOR, OUTSIDE RH (SHORT)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Z286">
            <v>1</v>
          </cell>
          <cell r="AA286">
            <v>1</v>
          </cell>
          <cell r="AD286">
            <v>1</v>
          </cell>
          <cell r="AE286">
            <v>1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CL286">
            <v>4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</row>
        <row r="287">
          <cell r="B287" t="str">
            <v>H</v>
          </cell>
          <cell r="C287" t="str">
            <v>H</v>
          </cell>
          <cell r="D287" t="str">
            <v>67114-0B010</v>
          </cell>
          <cell r="E287" t="str">
            <v>PANEL, RR DOOR, OUTSIDE LH (SHORT)</v>
          </cell>
          <cell r="J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Z287">
            <v>1</v>
          </cell>
          <cell r="AA287">
            <v>1</v>
          </cell>
          <cell r="AD287">
            <v>1</v>
          </cell>
          <cell r="AE287">
            <v>1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</row>
        <row r="288">
          <cell r="B288" t="str">
            <v>H</v>
          </cell>
          <cell r="C288" t="str">
            <v>H</v>
          </cell>
          <cell r="D288" t="str">
            <v>67115-0B120</v>
          </cell>
          <cell r="E288" t="str">
            <v>PANEL BACK DOOR OUTSIDE</v>
          </cell>
          <cell r="J288">
            <v>1</v>
          </cell>
          <cell r="K288">
            <v>0</v>
          </cell>
          <cell r="N288">
            <v>1</v>
          </cell>
          <cell r="O288">
            <v>1</v>
          </cell>
          <cell r="P288">
            <v>0</v>
          </cell>
          <cell r="S288">
            <v>1</v>
          </cell>
          <cell r="T288">
            <v>0</v>
          </cell>
          <cell r="AY288" t="str">
            <v>*</v>
          </cell>
          <cell r="BD288" t="str">
            <v>*</v>
          </cell>
          <cell r="BS288" t="str">
            <v>*</v>
          </cell>
          <cell r="CL288">
            <v>4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</row>
        <row r="289">
          <cell r="B289" t="str">
            <v>H</v>
          </cell>
          <cell r="C289" t="str">
            <v>H</v>
          </cell>
          <cell r="D289" t="str">
            <v>67115-0B130</v>
          </cell>
          <cell r="E289" t="str">
            <v>PANEL BACK DOOR OUTSIDE</v>
          </cell>
          <cell r="L289">
            <v>0</v>
          </cell>
          <cell r="M289">
            <v>0</v>
          </cell>
          <cell r="Q289">
            <v>0</v>
          </cell>
          <cell r="R289">
            <v>0</v>
          </cell>
          <cell r="U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Y289" t="str">
            <v>*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 t="str">
            <v>R</v>
          </cell>
          <cell r="BS289" t="str">
            <v>*</v>
          </cell>
          <cell r="CL289">
            <v>4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</row>
        <row r="292">
          <cell r="CK292">
            <v>14</v>
          </cell>
          <cell r="CM292">
            <v>3.6478405315614619</v>
          </cell>
        </row>
        <row r="293">
          <cell r="D293" t="str">
            <v>LOADING  H =</v>
          </cell>
          <cell r="F293" t="str">
            <v>DOM =</v>
          </cell>
          <cell r="G293">
            <v>0.72902097902097895</v>
          </cell>
          <cell r="H293" t="str">
            <v>PHIL =</v>
          </cell>
          <cell r="I293">
            <v>0.24650349650349651</v>
          </cell>
          <cell r="J293" t="str">
            <v>MAL =</v>
          </cell>
          <cell r="K293">
            <v>1.9038461538461535</v>
          </cell>
          <cell r="L293" t="str">
            <v>TAI=</v>
          </cell>
          <cell r="M293">
            <v>0</v>
          </cell>
          <cell r="N293" t="str">
            <v>VIET=</v>
          </cell>
          <cell r="O293">
            <v>0</v>
          </cell>
          <cell r="CK293" t="str">
            <v>SA =</v>
          </cell>
          <cell r="CL293">
            <v>0</v>
          </cell>
        </row>
        <row r="294">
          <cell r="D294" t="str">
            <v>TOT.  LOADING  H =</v>
          </cell>
          <cell r="F294">
            <v>2.8793706293706292</v>
          </cell>
          <cell r="H294" t="str">
            <v>HOURS</v>
          </cell>
        </row>
        <row r="296">
          <cell r="A296" t="str">
            <v>LINE I - 1000 T</v>
          </cell>
        </row>
        <row r="298">
          <cell r="A298">
            <v>3</v>
          </cell>
          <cell r="B298" t="str">
            <v>CO</v>
          </cell>
          <cell r="C298" t="str">
            <v>I</v>
          </cell>
          <cell r="D298" t="str">
            <v>53321-0B010</v>
          </cell>
          <cell r="E298" t="str">
            <v>PNL HOOD INNER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J298">
            <v>1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CK298">
            <v>0.5</v>
          </cell>
          <cell r="CL298">
            <v>3</v>
          </cell>
          <cell r="CM298">
            <v>0.18660022148394242</v>
          </cell>
          <cell r="CN298">
            <v>0</v>
          </cell>
          <cell r="CO298">
            <v>0</v>
          </cell>
          <cell r="CP298">
            <v>495</v>
          </cell>
          <cell r="CQ298">
            <v>22.5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495</v>
          </cell>
          <cell r="CY298">
            <v>22.5</v>
          </cell>
          <cell r="CZ298">
            <v>347.5</v>
          </cell>
          <cell r="DA298">
            <v>15.795454545454545</v>
          </cell>
          <cell r="DB298">
            <v>842.5</v>
          </cell>
          <cell r="DC298">
            <v>38.295454545454547</v>
          </cell>
        </row>
        <row r="299">
          <cell r="A299">
            <v>4</v>
          </cell>
          <cell r="B299" t="str">
            <v>CO</v>
          </cell>
          <cell r="C299" t="str">
            <v>I</v>
          </cell>
          <cell r="D299" t="str">
            <v>53322-0B010</v>
          </cell>
          <cell r="E299" t="str">
            <v>R/F, HOOD PANEL</v>
          </cell>
          <cell r="F299">
            <v>1</v>
          </cell>
          <cell r="G299">
            <v>1</v>
          </cell>
          <cell r="H299">
            <v>1</v>
          </cell>
          <cell r="I299">
            <v>1</v>
          </cell>
          <cell r="J299">
            <v>1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CK299">
            <v>0.5</v>
          </cell>
          <cell r="CM299">
            <v>0.18660022148394242</v>
          </cell>
          <cell r="CN299">
            <v>0</v>
          </cell>
          <cell r="CO299">
            <v>0</v>
          </cell>
          <cell r="CP299">
            <v>495</v>
          </cell>
          <cell r="CQ299">
            <v>22.5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495</v>
          </cell>
          <cell r="CY299">
            <v>22.5</v>
          </cell>
          <cell r="CZ299">
            <v>347.5</v>
          </cell>
          <cell r="DA299">
            <v>15.795454545454545</v>
          </cell>
          <cell r="DB299">
            <v>842.5</v>
          </cell>
          <cell r="DC299">
            <v>38.295454545454547</v>
          </cell>
        </row>
        <row r="300">
          <cell r="A300">
            <v>5</v>
          </cell>
          <cell r="B300" t="str">
            <v>CO</v>
          </cell>
          <cell r="C300" t="str">
            <v>I</v>
          </cell>
          <cell r="D300" t="str">
            <v>55311-0B051</v>
          </cell>
          <cell r="E300" t="str">
            <v>PANEL INSTRUMENT</v>
          </cell>
          <cell r="F300">
            <v>1</v>
          </cell>
          <cell r="G300">
            <v>1</v>
          </cell>
          <cell r="H300">
            <v>1</v>
          </cell>
          <cell r="I300">
            <v>1</v>
          </cell>
          <cell r="J300">
            <v>1</v>
          </cell>
          <cell r="K300">
            <v>1</v>
          </cell>
          <cell r="L300">
            <v>1</v>
          </cell>
          <cell r="M300">
            <v>1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Z300">
            <v>1</v>
          </cell>
          <cell r="BA300">
            <v>1</v>
          </cell>
          <cell r="BB300">
            <v>1</v>
          </cell>
          <cell r="BC300">
            <v>1</v>
          </cell>
          <cell r="CK300">
            <v>1</v>
          </cell>
          <cell r="CL300">
            <v>3</v>
          </cell>
          <cell r="CM300">
            <v>0.37320044296788485</v>
          </cell>
          <cell r="CN300">
            <v>0</v>
          </cell>
          <cell r="CO300">
            <v>0</v>
          </cell>
          <cell r="CP300">
            <v>990</v>
          </cell>
          <cell r="CQ300">
            <v>45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990</v>
          </cell>
          <cell r="CY300">
            <v>45</v>
          </cell>
          <cell r="CZ300">
            <v>695</v>
          </cell>
          <cell r="DA300">
            <v>31.59090909090909</v>
          </cell>
          <cell r="DB300">
            <v>1685</v>
          </cell>
          <cell r="DC300">
            <v>76.590909090909093</v>
          </cell>
        </row>
        <row r="301">
          <cell r="A301">
            <v>11</v>
          </cell>
          <cell r="B301" t="str">
            <v>CO</v>
          </cell>
          <cell r="C301" t="str">
            <v>I</v>
          </cell>
          <cell r="D301" t="str">
            <v>55781-0B010</v>
          </cell>
          <cell r="E301" t="str">
            <v>LOUVER COWL TOP VENTILATOR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V301">
            <v>1</v>
          </cell>
          <cell r="W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Z301">
            <v>1</v>
          </cell>
          <cell r="BA301">
            <v>1</v>
          </cell>
          <cell r="BB301">
            <v>1</v>
          </cell>
          <cell r="BC301">
            <v>1</v>
          </cell>
          <cell r="BT301">
            <v>1</v>
          </cell>
          <cell r="BU301">
            <v>1</v>
          </cell>
          <cell r="BV301">
            <v>1</v>
          </cell>
          <cell r="BW301">
            <v>1</v>
          </cell>
          <cell r="BX301">
            <v>1</v>
          </cell>
          <cell r="BY301">
            <v>1</v>
          </cell>
          <cell r="BZ301">
            <v>1</v>
          </cell>
          <cell r="CA301">
            <v>1</v>
          </cell>
          <cell r="CB301">
            <v>1</v>
          </cell>
          <cell r="CC301">
            <v>1</v>
          </cell>
          <cell r="CD301">
            <v>1</v>
          </cell>
          <cell r="CE301">
            <v>1</v>
          </cell>
          <cell r="CK301">
            <v>1</v>
          </cell>
          <cell r="CL301">
            <v>4</v>
          </cell>
          <cell r="CM301">
            <v>0.43521594684385384</v>
          </cell>
          <cell r="CN301">
            <v>0</v>
          </cell>
          <cell r="CO301">
            <v>0</v>
          </cell>
          <cell r="CP301">
            <v>990</v>
          </cell>
          <cell r="CQ301">
            <v>45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280</v>
          </cell>
          <cell r="CW301">
            <v>12.727272727272727</v>
          </cell>
          <cell r="CX301">
            <v>1270</v>
          </cell>
          <cell r="CY301">
            <v>57.727272727272727</v>
          </cell>
          <cell r="CZ301">
            <v>695</v>
          </cell>
          <cell r="DA301">
            <v>31.59090909090909</v>
          </cell>
          <cell r="DB301">
            <v>1965</v>
          </cell>
          <cell r="DC301">
            <v>89.318181818181813</v>
          </cell>
        </row>
        <row r="302">
          <cell r="A302">
            <v>12</v>
          </cell>
          <cell r="B302" t="str">
            <v>CO</v>
          </cell>
          <cell r="C302" t="str">
            <v>I</v>
          </cell>
          <cell r="D302" t="str">
            <v>58371-0B010</v>
          </cell>
          <cell r="E302" t="str">
            <v>PANEL, BODY LWR BACK, OUTER</v>
          </cell>
          <cell r="J302">
            <v>1</v>
          </cell>
          <cell r="K302">
            <v>1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1</v>
          </cell>
          <cell r="U302">
            <v>1</v>
          </cell>
          <cell r="V302">
            <v>1</v>
          </cell>
          <cell r="W302">
            <v>1</v>
          </cell>
          <cell r="X302">
            <v>1</v>
          </cell>
          <cell r="Y302">
            <v>1</v>
          </cell>
          <cell r="Z302">
            <v>1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1</v>
          </cell>
          <cell r="AZ302">
            <v>1</v>
          </cell>
          <cell r="BA302">
            <v>1</v>
          </cell>
          <cell r="BB302">
            <v>1</v>
          </cell>
          <cell r="BC302">
            <v>1</v>
          </cell>
          <cell r="CK302">
            <v>0.5</v>
          </cell>
          <cell r="CL302">
            <v>4</v>
          </cell>
          <cell r="CM302">
            <v>0.10963455149501661</v>
          </cell>
          <cell r="CN302">
            <v>0</v>
          </cell>
          <cell r="CO302">
            <v>0</v>
          </cell>
          <cell r="CP302">
            <v>495</v>
          </cell>
          <cell r="CQ302">
            <v>22.5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495</v>
          </cell>
          <cell r="CY302">
            <v>22.5</v>
          </cell>
          <cell r="CZ302">
            <v>0</v>
          </cell>
          <cell r="DA302">
            <v>0</v>
          </cell>
          <cell r="DB302">
            <v>495</v>
          </cell>
          <cell r="DC302">
            <v>22.5</v>
          </cell>
        </row>
        <row r="303">
          <cell r="A303">
            <v>13</v>
          </cell>
          <cell r="B303" t="str">
            <v>CO</v>
          </cell>
          <cell r="C303" t="str">
            <v>I</v>
          </cell>
          <cell r="D303" t="str">
            <v>58371-0B020.30</v>
          </cell>
          <cell r="E303" t="str">
            <v>PANEL, BODY LWR BACK, OUTER</v>
          </cell>
          <cell r="AK303">
            <v>1</v>
          </cell>
          <cell r="AL303">
            <v>1</v>
          </cell>
          <cell r="AM303">
            <v>1</v>
          </cell>
          <cell r="AW303">
            <v>1</v>
          </cell>
          <cell r="AX303">
            <v>1</v>
          </cell>
          <cell r="BE303">
            <v>1</v>
          </cell>
          <cell r="BF303">
            <v>1</v>
          </cell>
          <cell r="BG303">
            <v>1</v>
          </cell>
          <cell r="BH303">
            <v>1</v>
          </cell>
          <cell r="BI303">
            <v>1</v>
          </cell>
          <cell r="BJ303">
            <v>1</v>
          </cell>
          <cell r="BK303">
            <v>1</v>
          </cell>
          <cell r="BL303">
            <v>1</v>
          </cell>
          <cell r="BM303">
            <v>1</v>
          </cell>
          <cell r="BN303">
            <v>1</v>
          </cell>
          <cell r="BO303">
            <v>1</v>
          </cell>
          <cell r="BP303">
            <v>1</v>
          </cell>
          <cell r="BT303">
            <v>1</v>
          </cell>
          <cell r="BU303">
            <v>1</v>
          </cell>
          <cell r="BV303">
            <v>1</v>
          </cell>
          <cell r="BW303">
            <v>1</v>
          </cell>
          <cell r="BX303">
            <v>1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1</v>
          </cell>
          <cell r="CF303">
            <v>1</v>
          </cell>
          <cell r="CG303">
            <v>1</v>
          </cell>
          <cell r="CH303">
            <v>1</v>
          </cell>
          <cell r="CI303">
            <v>1</v>
          </cell>
          <cell r="CJ303">
            <v>1</v>
          </cell>
          <cell r="CK303">
            <v>0.5</v>
          </cell>
          <cell r="CL303">
            <v>4</v>
          </cell>
          <cell r="CM303">
            <v>0.24584717607973422</v>
          </cell>
          <cell r="CN303">
            <v>30</v>
          </cell>
          <cell r="CO303">
            <v>1.3636363636363635</v>
          </cell>
          <cell r="CP303">
            <v>0</v>
          </cell>
          <cell r="CQ303">
            <v>0</v>
          </cell>
          <cell r="CR303">
            <v>685</v>
          </cell>
          <cell r="CS303">
            <v>31.136363636363637</v>
          </cell>
          <cell r="CT303">
            <v>0</v>
          </cell>
          <cell r="CU303">
            <v>0</v>
          </cell>
          <cell r="CV303">
            <v>395</v>
          </cell>
          <cell r="CW303">
            <v>17.954545454545453</v>
          </cell>
          <cell r="CX303">
            <v>1110</v>
          </cell>
          <cell r="CY303">
            <v>50.454545454545453</v>
          </cell>
          <cell r="CZ303">
            <v>0</v>
          </cell>
          <cell r="DA303">
            <v>0</v>
          </cell>
          <cell r="DB303">
            <v>1110</v>
          </cell>
          <cell r="DC303">
            <v>50.454545454545453</v>
          </cell>
        </row>
        <row r="304">
          <cell r="A304">
            <v>14</v>
          </cell>
          <cell r="B304" t="str">
            <v>CO</v>
          </cell>
          <cell r="C304" t="str">
            <v>I</v>
          </cell>
          <cell r="D304" t="str">
            <v>58372-0B010</v>
          </cell>
          <cell r="E304" t="str">
            <v>PANEL, BODY LWR BACK, INNER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W304">
            <v>1</v>
          </cell>
          <cell r="X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E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1</v>
          </cell>
          <cell r="AN304">
            <v>1</v>
          </cell>
          <cell r="AR304">
            <v>1</v>
          </cell>
          <cell r="AS304">
            <v>1</v>
          </cell>
          <cell r="AT304">
            <v>1</v>
          </cell>
          <cell r="AV304">
            <v>1</v>
          </cell>
          <cell r="AZ304">
            <v>1</v>
          </cell>
          <cell r="BA304">
            <v>1</v>
          </cell>
          <cell r="BB304">
            <v>1</v>
          </cell>
          <cell r="BC304">
            <v>1</v>
          </cell>
          <cell r="CK304">
            <v>0.5</v>
          </cell>
          <cell r="CM304">
            <v>0.1273532668881506</v>
          </cell>
          <cell r="CN304">
            <v>80</v>
          </cell>
          <cell r="CO304">
            <v>3.6363636363636362</v>
          </cell>
          <cell r="CP304">
            <v>495</v>
          </cell>
          <cell r="CQ304">
            <v>22.5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575</v>
          </cell>
          <cell r="CY304">
            <v>26.136363636363637</v>
          </cell>
          <cell r="CZ304">
            <v>0</v>
          </cell>
          <cell r="DA304">
            <v>0</v>
          </cell>
          <cell r="DB304">
            <v>575</v>
          </cell>
          <cell r="DC304">
            <v>26.136363636363637</v>
          </cell>
        </row>
        <row r="305">
          <cell r="A305">
            <v>15</v>
          </cell>
          <cell r="B305" t="str">
            <v>CO</v>
          </cell>
          <cell r="C305" t="str">
            <v>I</v>
          </cell>
          <cell r="D305" t="str">
            <v>58381-YZC10</v>
          </cell>
          <cell r="E305" t="str">
            <v>PNL,RR VALANCE</v>
          </cell>
          <cell r="F305">
            <v>1</v>
          </cell>
          <cell r="H305">
            <v>1</v>
          </cell>
          <cell r="CK305">
            <v>1</v>
          </cell>
          <cell r="CL305">
            <v>3</v>
          </cell>
          <cell r="CM305">
            <v>0.15393133997785161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695</v>
          </cell>
          <cell r="DA305">
            <v>31.59090909090909</v>
          </cell>
          <cell r="DB305">
            <v>695</v>
          </cell>
          <cell r="DC305">
            <v>31.59090909090909</v>
          </cell>
        </row>
        <row r="306">
          <cell r="A306">
            <v>16</v>
          </cell>
          <cell r="B306" t="str">
            <v>CO</v>
          </cell>
          <cell r="C306" t="str">
            <v>C-I</v>
          </cell>
          <cell r="D306" t="str">
            <v>61135-0B010</v>
          </cell>
          <cell r="E306" t="str">
            <v>R/F, FR BODY PILLAR, UPR OUTER RH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J306">
            <v>1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1</v>
          </cell>
          <cell r="Q306">
            <v>1</v>
          </cell>
          <cell r="R306">
            <v>1</v>
          </cell>
          <cell r="S306">
            <v>1</v>
          </cell>
          <cell r="T306">
            <v>1</v>
          </cell>
          <cell r="U306">
            <v>1</v>
          </cell>
          <cell r="V306">
            <v>1</v>
          </cell>
          <cell r="W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K306">
            <v>1</v>
          </cell>
          <cell r="AL306">
            <v>1</v>
          </cell>
          <cell r="AM306">
            <v>1</v>
          </cell>
          <cell r="AN306">
            <v>1</v>
          </cell>
          <cell r="AO306">
            <v>1</v>
          </cell>
          <cell r="AP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1</v>
          </cell>
          <cell r="AZ306">
            <v>1</v>
          </cell>
          <cell r="BA306">
            <v>1</v>
          </cell>
          <cell r="BB306">
            <v>1</v>
          </cell>
          <cell r="BC306">
            <v>1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O306">
            <v>1</v>
          </cell>
          <cell r="BP306">
            <v>1</v>
          </cell>
          <cell r="BT306">
            <v>1</v>
          </cell>
          <cell r="BU306">
            <v>1</v>
          </cell>
          <cell r="BV306">
            <v>1</v>
          </cell>
          <cell r="BW306">
            <v>1</v>
          </cell>
          <cell r="BX306">
            <v>1</v>
          </cell>
          <cell r="BY306">
            <v>1</v>
          </cell>
          <cell r="BZ306">
            <v>1</v>
          </cell>
          <cell r="CA306">
            <v>1</v>
          </cell>
          <cell r="CB306">
            <v>1</v>
          </cell>
          <cell r="CC306">
            <v>1</v>
          </cell>
          <cell r="CD306">
            <v>1</v>
          </cell>
          <cell r="CE306">
            <v>1</v>
          </cell>
          <cell r="CF306">
            <v>1</v>
          </cell>
          <cell r="CG306">
            <v>1</v>
          </cell>
          <cell r="CH306">
            <v>1</v>
          </cell>
          <cell r="CI306">
            <v>1</v>
          </cell>
          <cell r="CJ306">
            <v>1</v>
          </cell>
          <cell r="CK306">
            <v>0.5</v>
          </cell>
          <cell r="CL306">
            <v>3</v>
          </cell>
          <cell r="CM306">
            <v>0.36731529821230818</v>
          </cell>
          <cell r="CN306">
            <v>235</v>
          </cell>
          <cell r="CO306">
            <v>10.681818181818182</v>
          </cell>
          <cell r="CP306">
            <v>495</v>
          </cell>
          <cell r="CQ306">
            <v>22.5</v>
          </cell>
          <cell r="CR306">
            <v>185.92857142857144</v>
          </cell>
          <cell r="CS306">
            <v>8.4512987012987022</v>
          </cell>
          <cell r="CT306">
            <v>0</v>
          </cell>
          <cell r="CU306">
            <v>0</v>
          </cell>
          <cell r="CV306">
            <v>395</v>
          </cell>
          <cell r="CW306">
            <v>17.954545454545453</v>
          </cell>
          <cell r="CX306">
            <v>1310.9285714285716</v>
          </cell>
          <cell r="CY306">
            <v>59.587662337662337</v>
          </cell>
          <cell r="CZ306">
            <v>347.5</v>
          </cell>
          <cell r="DA306">
            <v>15.795454545454545</v>
          </cell>
          <cell r="DB306">
            <v>1658.4285714285716</v>
          </cell>
          <cell r="DC306">
            <v>75.383116883116884</v>
          </cell>
        </row>
        <row r="307">
          <cell r="A307">
            <v>17</v>
          </cell>
          <cell r="B307" t="str">
            <v>CO</v>
          </cell>
          <cell r="C307" t="str">
            <v>C-I</v>
          </cell>
          <cell r="D307" t="str">
            <v>61136-0B010</v>
          </cell>
          <cell r="E307" t="str">
            <v>R/F, FR BODY PILLAR, UPR OUTER LH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1</v>
          </cell>
          <cell r="Q307">
            <v>1</v>
          </cell>
          <cell r="R307">
            <v>1</v>
          </cell>
          <cell r="S307">
            <v>1</v>
          </cell>
          <cell r="T307">
            <v>1</v>
          </cell>
          <cell r="U307">
            <v>1</v>
          </cell>
          <cell r="V307">
            <v>1</v>
          </cell>
          <cell r="W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K307">
            <v>1</v>
          </cell>
          <cell r="AL307">
            <v>1</v>
          </cell>
          <cell r="AM307">
            <v>1</v>
          </cell>
          <cell r="AN307">
            <v>1</v>
          </cell>
          <cell r="AO307">
            <v>1</v>
          </cell>
          <cell r="AP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1</v>
          </cell>
          <cell r="AZ307">
            <v>1</v>
          </cell>
          <cell r="BA307">
            <v>1</v>
          </cell>
          <cell r="BB307">
            <v>1</v>
          </cell>
          <cell r="BC307">
            <v>1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O307">
            <v>1</v>
          </cell>
          <cell r="BP307">
            <v>1</v>
          </cell>
          <cell r="BT307">
            <v>1</v>
          </cell>
          <cell r="BU307">
            <v>1</v>
          </cell>
          <cell r="BV307">
            <v>1</v>
          </cell>
          <cell r="BW307">
            <v>1</v>
          </cell>
          <cell r="BX307">
            <v>1</v>
          </cell>
          <cell r="BY307">
            <v>1</v>
          </cell>
          <cell r="BZ307">
            <v>1</v>
          </cell>
          <cell r="CA307">
            <v>1</v>
          </cell>
          <cell r="CB307">
            <v>1</v>
          </cell>
          <cell r="CC307">
            <v>1</v>
          </cell>
          <cell r="CD307">
            <v>1</v>
          </cell>
          <cell r="CE307">
            <v>1</v>
          </cell>
          <cell r="CF307">
            <v>1</v>
          </cell>
          <cell r="CG307">
            <v>1</v>
          </cell>
          <cell r="CH307">
            <v>1</v>
          </cell>
          <cell r="CI307">
            <v>1</v>
          </cell>
          <cell r="CJ307">
            <v>1</v>
          </cell>
          <cell r="CK307">
            <v>0.5</v>
          </cell>
          <cell r="CM307">
            <v>0.36731529821230818</v>
          </cell>
          <cell r="CN307">
            <v>235</v>
          </cell>
          <cell r="CO307">
            <v>10.681818181818182</v>
          </cell>
          <cell r="CP307">
            <v>495</v>
          </cell>
          <cell r="CQ307">
            <v>22.5</v>
          </cell>
          <cell r="CR307">
            <v>185.92857142857144</v>
          </cell>
          <cell r="CS307">
            <v>8.4512987012987022</v>
          </cell>
          <cell r="CT307">
            <v>0</v>
          </cell>
          <cell r="CU307">
            <v>0</v>
          </cell>
          <cell r="CV307">
            <v>395</v>
          </cell>
          <cell r="CW307">
            <v>17.954545454545453</v>
          </cell>
          <cell r="CX307">
            <v>1310.9285714285716</v>
          </cell>
          <cell r="CY307">
            <v>59.587662337662337</v>
          </cell>
          <cell r="CZ307">
            <v>347.5</v>
          </cell>
          <cell r="DA307">
            <v>15.795454545454545</v>
          </cell>
          <cell r="DB307">
            <v>1658.4285714285716</v>
          </cell>
          <cell r="DC307">
            <v>75.383116883116884</v>
          </cell>
        </row>
        <row r="308">
          <cell r="A308">
            <v>18</v>
          </cell>
          <cell r="B308" t="str">
            <v>CO</v>
          </cell>
          <cell r="C308" t="str">
            <v>I</v>
          </cell>
          <cell r="D308" t="str">
            <v>61311-0B020</v>
          </cell>
          <cell r="E308" t="str">
            <v>PILLAR, CTR BODY, OUTER RH</v>
          </cell>
          <cell r="J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O308">
            <v>1</v>
          </cell>
          <cell r="P308">
            <v>1</v>
          </cell>
          <cell r="Q308">
            <v>1</v>
          </cell>
          <cell r="R308">
            <v>1</v>
          </cell>
          <cell r="S308">
            <v>1</v>
          </cell>
          <cell r="T308">
            <v>1</v>
          </cell>
          <cell r="U308">
            <v>1</v>
          </cell>
          <cell r="V308">
            <v>1</v>
          </cell>
          <cell r="X308">
            <v>1</v>
          </cell>
          <cell r="Y308">
            <v>1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Z308">
            <v>1</v>
          </cell>
          <cell r="BA308">
            <v>1</v>
          </cell>
          <cell r="BB308">
            <v>1</v>
          </cell>
          <cell r="BC308">
            <v>1</v>
          </cell>
          <cell r="CK308">
            <v>1</v>
          </cell>
          <cell r="CL308">
            <v>4</v>
          </cell>
          <cell r="CM308">
            <v>0.21926910299003322</v>
          </cell>
          <cell r="CN308">
            <v>0</v>
          </cell>
          <cell r="CO308">
            <v>0</v>
          </cell>
          <cell r="CP308">
            <v>990</v>
          </cell>
          <cell r="CQ308">
            <v>45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990</v>
          </cell>
          <cell r="CY308">
            <v>45</v>
          </cell>
          <cell r="CZ308">
            <v>0</v>
          </cell>
          <cell r="DA308">
            <v>0</v>
          </cell>
          <cell r="DB308">
            <v>990</v>
          </cell>
          <cell r="DC308">
            <v>45</v>
          </cell>
        </row>
        <row r="309">
          <cell r="A309">
            <v>19</v>
          </cell>
          <cell r="B309" t="str">
            <v>CO</v>
          </cell>
          <cell r="C309" t="str">
            <v>I</v>
          </cell>
          <cell r="D309" t="str">
            <v>61311-0B030</v>
          </cell>
          <cell r="E309" t="str">
            <v>PILLAR, CTR BODY, OUTER RH</v>
          </cell>
          <cell r="AK309">
            <v>1</v>
          </cell>
          <cell r="AL309">
            <v>1</v>
          </cell>
          <cell r="AM309">
            <v>1</v>
          </cell>
          <cell r="AN309">
            <v>1</v>
          </cell>
          <cell r="AO309">
            <v>1</v>
          </cell>
          <cell r="AP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1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O309">
            <v>1</v>
          </cell>
          <cell r="BP309">
            <v>1</v>
          </cell>
          <cell r="BT309">
            <v>1</v>
          </cell>
          <cell r="BU309">
            <v>1</v>
          </cell>
          <cell r="BV309">
            <v>1</v>
          </cell>
          <cell r="BW309">
            <v>1</v>
          </cell>
          <cell r="BX309">
            <v>1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1</v>
          </cell>
          <cell r="CF309">
            <v>1</v>
          </cell>
          <cell r="CG309">
            <v>1</v>
          </cell>
          <cell r="CH309">
            <v>1</v>
          </cell>
          <cell r="CI309">
            <v>1</v>
          </cell>
          <cell r="CJ309">
            <v>1</v>
          </cell>
          <cell r="CK309">
            <v>1</v>
          </cell>
          <cell r="CL309">
            <v>4</v>
          </cell>
          <cell r="CM309">
            <v>0.36143015345673152</v>
          </cell>
          <cell r="CN309">
            <v>470</v>
          </cell>
          <cell r="CO309">
            <v>21.363636363636363</v>
          </cell>
          <cell r="CP309">
            <v>0</v>
          </cell>
          <cell r="CQ309">
            <v>0</v>
          </cell>
          <cell r="CR309">
            <v>371.85714285714289</v>
          </cell>
          <cell r="CS309">
            <v>16.902597402597404</v>
          </cell>
          <cell r="CT309">
            <v>0</v>
          </cell>
          <cell r="CU309">
            <v>0</v>
          </cell>
          <cell r="CV309">
            <v>790</v>
          </cell>
          <cell r="CW309">
            <v>35.909090909090907</v>
          </cell>
          <cell r="CX309">
            <v>1631.8571428571429</v>
          </cell>
          <cell r="CY309">
            <v>74.175324675324674</v>
          </cell>
          <cell r="CZ309">
            <v>0</v>
          </cell>
          <cell r="DA309">
            <v>0</v>
          </cell>
          <cell r="DB309">
            <v>1631.8571428571429</v>
          </cell>
          <cell r="DC309">
            <v>74.175324675324674</v>
          </cell>
        </row>
        <row r="310">
          <cell r="A310">
            <v>20</v>
          </cell>
          <cell r="B310" t="str">
            <v>CO</v>
          </cell>
          <cell r="C310" t="str">
            <v>I</v>
          </cell>
          <cell r="D310" t="str">
            <v>61312-0B020</v>
          </cell>
          <cell r="E310" t="str">
            <v>PILLAR, CTR BODY, OUTER LH</v>
          </cell>
          <cell r="J310">
            <v>1</v>
          </cell>
          <cell r="K310">
            <v>1</v>
          </cell>
          <cell r="L310">
            <v>1</v>
          </cell>
          <cell r="M310">
            <v>1</v>
          </cell>
          <cell r="N310">
            <v>1</v>
          </cell>
          <cell r="O310">
            <v>1</v>
          </cell>
          <cell r="P310">
            <v>1</v>
          </cell>
          <cell r="Q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1</v>
          </cell>
          <cell r="AZ310">
            <v>1</v>
          </cell>
          <cell r="BA310">
            <v>1</v>
          </cell>
          <cell r="BB310">
            <v>1</v>
          </cell>
          <cell r="BC310">
            <v>1</v>
          </cell>
          <cell r="CK310">
            <v>1</v>
          </cell>
          <cell r="CL310">
            <v>4</v>
          </cell>
          <cell r="CM310">
            <v>0.21926910299003322</v>
          </cell>
          <cell r="CN310">
            <v>0</v>
          </cell>
          <cell r="CO310">
            <v>0</v>
          </cell>
          <cell r="CP310">
            <v>990</v>
          </cell>
          <cell r="CQ310">
            <v>45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990</v>
          </cell>
          <cell r="CY310">
            <v>45</v>
          </cell>
          <cell r="CZ310">
            <v>0</v>
          </cell>
          <cell r="DA310">
            <v>0</v>
          </cell>
          <cell r="DB310">
            <v>990</v>
          </cell>
          <cell r="DC310">
            <v>45</v>
          </cell>
        </row>
        <row r="311">
          <cell r="A311">
            <v>21</v>
          </cell>
          <cell r="B311" t="str">
            <v>CO</v>
          </cell>
          <cell r="C311" t="str">
            <v>I</v>
          </cell>
          <cell r="D311" t="str">
            <v>61312-0B030</v>
          </cell>
          <cell r="E311" t="str">
            <v>PILLAR, CTR BODY, OUTER LH</v>
          </cell>
          <cell r="AK311">
            <v>1</v>
          </cell>
          <cell r="AL311">
            <v>1</v>
          </cell>
          <cell r="AM311">
            <v>1</v>
          </cell>
          <cell r="AN311">
            <v>1</v>
          </cell>
          <cell r="AO311">
            <v>1</v>
          </cell>
          <cell r="AP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1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O311">
            <v>1</v>
          </cell>
          <cell r="BP311">
            <v>1</v>
          </cell>
          <cell r="BT311">
            <v>1</v>
          </cell>
          <cell r="BU311">
            <v>1</v>
          </cell>
          <cell r="BV311">
            <v>1</v>
          </cell>
          <cell r="BW311">
            <v>1</v>
          </cell>
          <cell r="BX311">
            <v>1</v>
          </cell>
          <cell r="BY311">
            <v>1</v>
          </cell>
          <cell r="BZ311">
            <v>1</v>
          </cell>
          <cell r="CA311">
            <v>1</v>
          </cell>
          <cell r="CB311">
            <v>1</v>
          </cell>
          <cell r="CC311">
            <v>1</v>
          </cell>
          <cell r="CD311">
            <v>1</v>
          </cell>
          <cell r="CE311">
            <v>1</v>
          </cell>
          <cell r="CF311">
            <v>1</v>
          </cell>
          <cell r="CG311">
            <v>1</v>
          </cell>
          <cell r="CH311">
            <v>1</v>
          </cell>
          <cell r="CI311">
            <v>1</v>
          </cell>
          <cell r="CJ311">
            <v>1</v>
          </cell>
          <cell r="CK311">
            <v>1</v>
          </cell>
          <cell r="CL311">
            <v>4</v>
          </cell>
          <cell r="CM311">
            <v>0.36143015345673152</v>
          </cell>
          <cell r="CN311">
            <v>470</v>
          </cell>
          <cell r="CO311">
            <v>21.363636363636363</v>
          </cell>
          <cell r="CP311">
            <v>0</v>
          </cell>
          <cell r="CQ311">
            <v>0</v>
          </cell>
          <cell r="CR311">
            <v>371.85714285714289</v>
          </cell>
          <cell r="CS311">
            <v>16.902597402597404</v>
          </cell>
          <cell r="CT311">
            <v>0</v>
          </cell>
          <cell r="CU311">
            <v>0</v>
          </cell>
          <cell r="CV311">
            <v>790</v>
          </cell>
          <cell r="CW311">
            <v>35.909090909090907</v>
          </cell>
          <cell r="CX311">
            <v>1631.8571428571429</v>
          </cell>
          <cell r="CY311">
            <v>74.175324675324674</v>
          </cell>
          <cell r="CZ311">
            <v>0</v>
          </cell>
          <cell r="DA311">
            <v>0</v>
          </cell>
          <cell r="DB311">
            <v>1631.8571428571429</v>
          </cell>
          <cell r="DC311">
            <v>74.175324675324674</v>
          </cell>
        </row>
        <row r="312">
          <cell r="A312">
            <v>22</v>
          </cell>
          <cell r="B312" t="str">
            <v>krw</v>
          </cell>
          <cell r="C312" t="str">
            <v>I</v>
          </cell>
          <cell r="D312" t="str">
            <v>61323-0B010</v>
          </cell>
          <cell r="E312" t="str">
            <v>R/F, CTR BODY PILLAR, LWR RH</v>
          </cell>
          <cell r="J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O312">
            <v>1</v>
          </cell>
          <cell r="P312">
            <v>1</v>
          </cell>
          <cell r="Q312">
            <v>1</v>
          </cell>
          <cell r="R312">
            <v>1</v>
          </cell>
          <cell r="S312">
            <v>1</v>
          </cell>
          <cell r="T312">
            <v>1</v>
          </cell>
          <cell r="U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B312">
            <v>1</v>
          </cell>
          <cell r="AC312">
            <v>1</v>
          </cell>
          <cell r="AD312">
            <v>1</v>
          </cell>
          <cell r="AE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1</v>
          </cell>
          <cell r="AK312">
            <v>1</v>
          </cell>
          <cell r="AL312">
            <v>1</v>
          </cell>
          <cell r="AM312">
            <v>1</v>
          </cell>
          <cell r="AN312">
            <v>1</v>
          </cell>
          <cell r="AO312">
            <v>1</v>
          </cell>
          <cell r="AP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1</v>
          </cell>
          <cell r="AZ312">
            <v>1</v>
          </cell>
          <cell r="BA312">
            <v>1</v>
          </cell>
          <cell r="BB312">
            <v>1</v>
          </cell>
          <cell r="BC312">
            <v>1</v>
          </cell>
          <cell r="BF312">
            <v>1</v>
          </cell>
          <cell r="BG312">
            <v>1</v>
          </cell>
          <cell r="BH312">
            <v>1</v>
          </cell>
          <cell r="BI312">
            <v>1</v>
          </cell>
          <cell r="BJ312">
            <v>1</v>
          </cell>
          <cell r="BK312">
            <v>1</v>
          </cell>
          <cell r="BL312">
            <v>1</v>
          </cell>
          <cell r="BM312">
            <v>1</v>
          </cell>
          <cell r="BN312">
            <v>1</v>
          </cell>
          <cell r="BO312">
            <v>1</v>
          </cell>
          <cell r="BP312">
            <v>1</v>
          </cell>
          <cell r="BT312">
            <v>1</v>
          </cell>
          <cell r="BU312">
            <v>1</v>
          </cell>
          <cell r="BV312">
            <v>1</v>
          </cell>
          <cell r="BW312">
            <v>1</v>
          </cell>
          <cell r="BX312">
            <v>1</v>
          </cell>
          <cell r="BY312">
            <v>1</v>
          </cell>
          <cell r="BZ312">
            <v>1</v>
          </cell>
          <cell r="CA312">
            <v>1</v>
          </cell>
          <cell r="CB312">
            <v>1</v>
          </cell>
          <cell r="CC312">
            <v>1</v>
          </cell>
          <cell r="CD312">
            <v>1</v>
          </cell>
          <cell r="CE312">
            <v>1</v>
          </cell>
          <cell r="CF312">
            <v>1</v>
          </cell>
          <cell r="CG312">
            <v>1</v>
          </cell>
          <cell r="CH312">
            <v>1</v>
          </cell>
          <cell r="CI312">
            <v>1</v>
          </cell>
          <cell r="CJ312">
            <v>1</v>
          </cell>
          <cell r="CK312">
            <v>0</v>
          </cell>
          <cell r="CL312">
            <v>4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</row>
        <row r="313">
          <cell r="A313">
            <v>23</v>
          </cell>
          <cell r="B313" t="str">
            <v>krw</v>
          </cell>
          <cell r="C313" t="str">
            <v>I</v>
          </cell>
          <cell r="D313" t="str">
            <v>61324-0B010</v>
          </cell>
          <cell r="E313" t="str">
            <v>R/F, CTR BODY PILLAR, LWR LH</v>
          </cell>
          <cell r="J313">
            <v>1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1</v>
          </cell>
          <cell r="Q313">
            <v>1</v>
          </cell>
          <cell r="R313">
            <v>1</v>
          </cell>
          <cell r="S313">
            <v>1</v>
          </cell>
          <cell r="T313">
            <v>1</v>
          </cell>
          <cell r="U313">
            <v>1</v>
          </cell>
          <cell r="V313">
            <v>1</v>
          </cell>
          <cell r="X313">
            <v>1</v>
          </cell>
          <cell r="Y313">
            <v>1</v>
          </cell>
          <cell r="Z313">
            <v>1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1</v>
          </cell>
          <cell r="AK313">
            <v>1</v>
          </cell>
          <cell r="AL313">
            <v>1</v>
          </cell>
          <cell r="AM313">
            <v>1</v>
          </cell>
          <cell r="AN313">
            <v>1</v>
          </cell>
          <cell r="AO313">
            <v>1</v>
          </cell>
          <cell r="AP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1</v>
          </cell>
          <cell r="AZ313">
            <v>1</v>
          </cell>
          <cell r="BA313">
            <v>1</v>
          </cell>
          <cell r="BB313">
            <v>1</v>
          </cell>
          <cell r="BC313">
            <v>1</v>
          </cell>
          <cell r="BF313">
            <v>1</v>
          </cell>
          <cell r="BG313">
            <v>1</v>
          </cell>
          <cell r="BH313">
            <v>1</v>
          </cell>
          <cell r="BI313">
            <v>1</v>
          </cell>
          <cell r="BJ313">
            <v>1</v>
          </cell>
          <cell r="BK313">
            <v>1</v>
          </cell>
          <cell r="BL313">
            <v>1</v>
          </cell>
          <cell r="BM313">
            <v>1</v>
          </cell>
          <cell r="BN313">
            <v>1</v>
          </cell>
          <cell r="BO313">
            <v>1</v>
          </cell>
          <cell r="BP313">
            <v>1</v>
          </cell>
          <cell r="BT313">
            <v>1</v>
          </cell>
          <cell r="BU313">
            <v>1</v>
          </cell>
          <cell r="BV313">
            <v>1</v>
          </cell>
          <cell r="BW313">
            <v>1</v>
          </cell>
          <cell r="BX313">
            <v>1</v>
          </cell>
          <cell r="BY313">
            <v>1</v>
          </cell>
          <cell r="BZ313">
            <v>1</v>
          </cell>
          <cell r="CA313">
            <v>1</v>
          </cell>
          <cell r="CB313">
            <v>1</v>
          </cell>
          <cell r="CC313">
            <v>1</v>
          </cell>
          <cell r="CD313">
            <v>1</v>
          </cell>
          <cell r="CE313">
            <v>1</v>
          </cell>
          <cell r="CF313">
            <v>1</v>
          </cell>
          <cell r="CG313">
            <v>1</v>
          </cell>
          <cell r="CH313">
            <v>1</v>
          </cell>
          <cell r="CI313">
            <v>1</v>
          </cell>
          <cell r="CJ313">
            <v>1</v>
          </cell>
          <cell r="CK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</row>
        <row r="314">
          <cell r="A314">
            <v>24</v>
          </cell>
          <cell r="B314" t="str">
            <v>CO</v>
          </cell>
          <cell r="C314" t="str">
            <v>B</v>
          </cell>
          <cell r="D314" t="str">
            <v>61633-0B010</v>
          </cell>
          <cell r="E314" t="str">
            <v>PANEL, QTR WHEEL HOUSE, INNER RH</v>
          </cell>
          <cell r="J314">
            <v>1</v>
          </cell>
          <cell r="K314">
            <v>1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>
            <v>1</v>
          </cell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1</v>
          </cell>
          <cell r="AZ314">
            <v>1</v>
          </cell>
          <cell r="BA314">
            <v>1</v>
          </cell>
          <cell r="BB314">
            <v>1</v>
          </cell>
          <cell r="BC314">
            <v>1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O314">
            <v>1</v>
          </cell>
          <cell r="BP314">
            <v>1</v>
          </cell>
          <cell r="BT314">
            <v>1</v>
          </cell>
          <cell r="BU314">
            <v>1</v>
          </cell>
          <cell r="BV314">
            <v>1</v>
          </cell>
          <cell r="BW314">
            <v>1</v>
          </cell>
          <cell r="BX314">
            <v>1</v>
          </cell>
          <cell r="BY314">
            <v>1</v>
          </cell>
          <cell r="BZ314">
            <v>1</v>
          </cell>
          <cell r="CA314">
            <v>1</v>
          </cell>
          <cell r="CB314">
            <v>1</v>
          </cell>
          <cell r="CC314">
            <v>1</v>
          </cell>
          <cell r="CD314">
            <v>1</v>
          </cell>
          <cell r="CE314">
            <v>1</v>
          </cell>
          <cell r="CF314">
            <v>1</v>
          </cell>
          <cell r="CG314">
            <v>1</v>
          </cell>
          <cell r="CH314">
            <v>1</v>
          </cell>
          <cell r="CI314">
            <v>1</v>
          </cell>
          <cell r="CJ314">
            <v>1</v>
          </cell>
          <cell r="CK314">
            <v>0.5</v>
          </cell>
          <cell r="CL314">
            <v>1.5</v>
          </cell>
          <cell r="CM314">
            <v>0.29034962822338239</v>
          </cell>
          <cell r="CN314">
            <v>235</v>
          </cell>
          <cell r="CO314">
            <v>10.681818181818182</v>
          </cell>
          <cell r="CP314">
            <v>495</v>
          </cell>
          <cell r="CQ314">
            <v>22.5</v>
          </cell>
          <cell r="CR314">
            <v>185.92857142857144</v>
          </cell>
          <cell r="CS314">
            <v>8.4512987012987022</v>
          </cell>
          <cell r="CT314">
            <v>0</v>
          </cell>
          <cell r="CU314">
            <v>0</v>
          </cell>
          <cell r="CV314">
            <v>395</v>
          </cell>
          <cell r="CW314">
            <v>17.954545454545453</v>
          </cell>
          <cell r="CX314">
            <v>1310.9285714285716</v>
          </cell>
          <cell r="CY314">
            <v>59.587662337662337</v>
          </cell>
          <cell r="CZ314">
            <v>0</v>
          </cell>
          <cell r="DA314">
            <v>0</v>
          </cell>
          <cell r="DB314">
            <v>1310.9285714285716</v>
          </cell>
          <cell r="DC314">
            <v>59.587662337662337</v>
          </cell>
        </row>
        <row r="315">
          <cell r="A315">
            <v>25</v>
          </cell>
          <cell r="B315" t="str">
            <v>CO</v>
          </cell>
          <cell r="C315" t="str">
            <v>B</v>
          </cell>
          <cell r="D315" t="str">
            <v>61634-0B010</v>
          </cell>
          <cell r="E315" t="str">
            <v>PANEL, QTR WHEEL HOUSE, INNER LH</v>
          </cell>
          <cell r="J315">
            <v>1</v>
          </cell>
          <cell r="K315">
            <v>1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1</v>
          </cell>
          <cell r="Q315">
            <v>1</v>
          </cell>
          <cell r="R315">
            <v>1</v>
          </cell>
          <cell r="S315">
            <v>1</v>
          </cell>
          <cell r="T315">
            <v>1</v>
          </cell>
          <cell r="U315">
            <v>1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P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1</v>
          </cell>
          <cell r="AZ315">
            <v>1</v>
          </cell>
          <cell r="BA315">
            <v>1</v>
          </cell>
          <cell r="BB315">
            <v>1</v>
          </cell>
          <cell r="BC315">
            <v>1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O315">
            <v>1</v>
          </cell>
          <cell r="BP315">
            <v>1</v>
          </cell>
          <cell r="BT315">
            <v>1</v>
          </cell>
          <cell r="BU315">
            <v>1</v>
          </cell>
          <cell r="BV315">
            <v>1</v>
          </cell>
          <cell r="BW315">
            <v>1</v>
          </cell>
          <cell r="BX315">
            <v>1</v>
          </cell>
          <cell r="BY315">
            <v>1</v>
          </cell>
          <cell r="BZ315">
            <v>1</v>
          </cell>
          <cell r="CA315">
            <v>1</v>
          </cell>
          <cell r="CB315">
            <v>1</v>
          </cell>
          <cell r="CC315">
            <v>1</v>
          </cell>
          <cell r="CD315">
            <v>1</v>
          </cell>
          <cell r="CE315">
            <v>1</v>
          </cell>
          <cell r="CF315">
            <v>1</v>
          </cell>
          <cell r="CG315">
            <v>1</v>
          </cell>
          <cell r="CH315">
            <v>1</v>
          </cell>
          <cell r="CI315">
            <v>1</v>
          </cell>
          <cell r="CJ315">
            <v>1</v>
          </cell>
          <cell r="CK315">
            <v>0.5</v>
          </cell>
          <cell r="CL315">
            <v>1.5</v>
          </cell>
          <cell r="CM315">
            <v>0.29034962822338239</v>
          </cell>
          <cell r="CN315">
            <v>235</v>
          </cell>
          <cell r="CO315">
            <v>10.681818181818182</v>
          </cell>
          <cell r="CP315">
            <v>495</v>
          </cell>
          <cell r="CQ315">
            <v>22.5</v>
          </cell>
          <cell r="CR315">
            <v>185.92857142857144</v>
          </cell>
          <cell r="CS315">
            <v>8.4512987012987022</v>
          </cell>
          <cell r="CT315">
            <v>0</v>
          </cell>
          <cell r="CU315">
            <v>0</v>
          </cell>
          <cell r="CV315">
            <v>395</v>
          </cell>
          <cell r="CW315">
            <v>17.954545454545453</v>
          </cell>
          <cell r="CX315">
            <v>1310.9285714285716</v>
          </cell>
          <cell r="CY315">
            <v>59.587662337662337</v>
          </cell>
          <cell r="CZ315">
            <v>0</v>
          </cell>
          <cell r="DA315">
            <v>0</v>
          </cell>
          <cell r="DB315">
            <v>1310.9285714285716</v>
          </cell>
          <cell r="DC315">
            <v>59.587662337662337</v>
          </cell>
        </row>
        <row r="316">
          <cell r="A316">
            <v>26</v>
          </cell>
          <cell r="B316" t="str">
            <v>CO</v>
          </cell>
          <cell r="C316" t="str">
            <v>I</v>
          </cell>
          <cell r="D316" t="str">
            <v>61743-0B010</v>
          </cell>
          <cell r="E316" t="str">
            <v>R/F BACK DOOR SIDE RH</v>
          </cell>
          <cell r="J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Q316">
            <v>1</v>
          </cell>
          <cell r="R316">
            <v>1</v>
          </cell>
          <cell r="S316">
            <v>1</v>
          </cell>
          <cell r="T316">
            <v>1</v>
          </cell>
          <cell r="U316">
            <v>1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Z316">
            <v>1</v>
          </cell>
          <cell r="BA316">
            <v>1</v>
          </cell>
          <cell r="BB316">
            <v>1</v>
          </cell>
          <cell r="BC316">
            <v>1</v>
          </cell>
          <cell r="CK316">
            <v>1</v>
          </cell>
          <cell r="CL316">
            <v>3</v>
          </cell>
          <cell r="CM316">
            <v>0.21926910299003322</v>
          </cell>
          <cell r="CN316">
            <v>0</v>
          </cell>
          <cell r="CO316">
            <v>0</v>
          </cell>
          <cell r="CP316">
            <v>990</v>
          </cell>
          <cell r="CQ316">
            <v>45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990</v>
          </cell>
          <cell r="CY316">
            <v>45</v>
          </cell>
          <cell r="CZ316">
            <v>0</v>
          </cell>
          <cell r="DA316">
            <v>0</v>
          </cell>
          <cell r="DB316">
            <v>990</v>
          </cell>
          <cell r="DC316">
            <v>45</v>
          </cell>
        </row>
        <row r="317">
          <cell r="A317">
            <v>27</v>
          </cell>
          <cell r="B317" t="str">
            <v>CO</v>
          </cell>
          <cell r="C317" t="str">
            <v>I</v>
          </cell>
          <cell r="D317" t="str">
            <v>61743-0B020.40</v>
          </cell>
          <cell r="E317" t="str">
            <v>R/F BACK DOOR SIDE RH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P317">
            <v>1</v>
          </cell>
          <cell r="AQ317">
            <v>1</v>
          </cell>
          <cell r="AR317">
            <v>1</v>
          </cell>
          <cell r="AS317">
            <v>1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1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O317">
            <v>1</v>
          </cell>
          <cell r="BP317">
            <v>1</v>
          </cell>
          <cell r="BT317">
            <v>1</v>
          </cell>
          <cell r="BU317">
            <v>1</v>
          </cell>
          <cell r="BV317">
            <v>1</v>
          </cell>
          <cell r="BW317">
            <v>1</v>
          </cell>
          <cell r="BX317">
            <v>1</v>
          </cell>
          <cell r="BY317">
            <v>1</v>
          </cell>
          <cell r="BZ317">
            <v>1</v>
          </cell>
          <cell r="CA317">
            <v>1</v>
          </cell>
          <cell r="CB317">
            <v>1</v>
          </cell>
          <cell r="CC317">
            <v>1</v>
          </cell>
          <cell r="CD317">
            <v>1</v>
          </cell>
          <cell r="CE317">
            <v>1</v>
          </cell>
          <cell r="CF317">
            <v>1</v>
          </cell>
          <cell r="CG317">
            <v>1</v>
          </cell>
          <cell r="CH317">
            <v>1</v>
          </cell>
          <cell r="CI317">
            <v>1</v>
          </cell>
          <cell r="CJ317">
            <v>1</v>
          </cell>
          <cell r="CK317">
            <v>1</v>
          </cell>
          <cell r="CL317">
            <v>3</v>
          </cell>
          <cell r="CM317">
            <v>0.36143015345673152</v>
          </cell>
          <cell r="CN317">
            <v>470</v>
          </cell>
          <cell r="CO317">
            <v>21.363636363636363</v>
          </cell>
          <cell r="CP317">
            <v>0</v>
          </cell>
          <cell r="CQ317">
            <v>0</v>
          </cell>
          <cell r="CR317">
            <v>371.85714285714289</v>
          </cell>
          <cell r="CS317">
            <v>16.902597402597404</v>
          </cell>
          <cell r="CT317">
            <v>0</v>
          </cell>
          <cell r="CU317">
            <v>0</v>
          </cell>
          <cell r="CV317">
            <v>790</v>
          </cell>
          <cell r="CW317">
            <v>35.909090909090907</v>
          </cell>
          <cell r="CX317">
            <v>1631.8571428571429</v>
          </cell>
          <cell r="CY317">
            <v>74.175324675324674</v>
          </cell>
          <cell r="CZ317">
            <v>0</v>
          </cell>
          <cell r="DA317">
            <v>0</v>
          </cell>
          <cell r="DB317">
            <v>1631.8571428571429</v>
          </cell>
          <cell r="DC317">
            <v>74.175324675324674</v>
          </cell>
        </row>
        <row r="318">
          <cell r="A318">
            <v>28</v>
          </cell>
          <cell r="B318" t="str">
            <v>CO</v>
          </cell>
          <cell r="C318" t="str">
            <v>I</v>
          </cell>
          <cell r="D318" t="str">
            <v>61744-0B010</v>
          </cell>
          <cell r="E318" t="str">
            <v>R/F BACK DOOR SIDE LH</v>
          </cell>
          <cell r="J318">
            <v>1</v>
          </cell>
          <cell r="K318">
            <v>1</v>
          </cell>
          <cell r="L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Q318">
            <v>1</v>
          </cell>
          <cell r="R318">
            <v>1</v>
          </cell>
          <cell r="S318">
            <v>1</v>
          </cell>
          <cell r="T318">
            <v>1</v>
          </cell>
          <cell r="U318">
            <v>1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Z318">
            <v>1</v>
          </cell>
          <cell r="BA318">
            <v>1</v>
          </cell>
          <cell r="BB318">
            <v>1</v>
          </cell>
          <cell r="BC318">
            <v>1</v>
          </cell>
          <cell r="CK318">
            <v>1</v>
          </cell>
          <cell r="CL318">
            <v>3</v>
          </cell>
          <cell r="CM318">
            <v>0.21926910299003322</v>
          </cell>
          <cell r="CN318">
            <v>0</v>
          </cell>
          <cell r="CO318">
            <v>0</v>
          </cell>
          <cell r="CP318">
            <v>990</v>
          </cell>
          <cell r="CQ318">
            <v>45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990</v>
          </cell>
          <cell r="CY318">
            <v>45</v>
          </cell>
          <cell r="CZ318">
            <v>0</v>
          </cell>
          <cell r="DA318">
            <v>0</v>
          </cell>
          <cell r="DB318">
            <v>990</v>
          </cell>
          <cell r="DC318">
            <v>45</v>
          </cell>
        </row>
        <row r="319">
          <cell r="A319">
            <v>29</v>
          </cell>
          <cell r="B319" t="str">
            <v>CO</v>
          </cell>
          <cell r="C319" t="str">
            <v>I</v>
          </cell>
          <cell r="D319" t="str">
            <v>61744-0B020.40</v>
          </cell>
          <cell r="E319" t="str">
            <v>R/F BACK DOOR SIDE LH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P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1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O319">
            <v>1</v>
          </cell>
          <cell r="BP319">
            <v>1</v>
          </cell>
          <cell r="BT319">
            <v>1</v>
          </cell>
          <cell r="BU319">
            <v>1</v>
          </cell>
          <cell r="BV319">
            <v>1</v>
          </cell>
          <cell r="BW319">
            <v>1</v>
          </cell>
          <cell r="BX319">
            <v>1</v>
          </cell>
          <cell r="BY319">
            <v>1</v>
          </cell>
          <cell r="BZ319">
            <v>1</v>
          </cell>
          <cell r="CA319">
            <v>1</v>
          </cell>
          <cell r="CB319">
            <v>1</v>
          </cell>
          <cell r="CC319">
            <v>1</v>
          </cell>
          <cell r="CD319">
            <v>1</v>
          </cell>
          <cell r="CE319">
            <v>1</v>
          </cell>
          <cell r="CF319">
            <v>1</v>
          </cell>
          <cell r="CG319">
            <v>1</v>
          </cell>
          <cell r="CH319">
            <v>1</v>
          </cell>
          <cell r="CI319">
            <v>1</v>
          </cell>
          <cell r="CJ319">
            <v>1</v>
          </cell>
          <cell r="CK319">
            <v>1</v>
          </cell>
          <cell r="CL319">
            <v>3</v>
          </cell>
          <cell r="CM319">
            <v>0.36143015345673152</v>
          </cell>
          <cell r="CN319">
            <v>470</v>
          </cell>
          <cell r="CO319">
            <v>21.363636363636363</v>
          </cell>
          <cell r="CP319">
            <v>0</v>
          </cell>
          <cell r="CQ319">
            <v>0</v>
          </cell>
          <cell r="CR319">
            <v>371.85714285714289</v>
          </cell>
          <cell r="CS319">
            <v>16.902597402597404</v>
          </cell>
          <cell r="CT319">
            <v>0</v>
          </cell>
          <cell r="CU319">
            <v>0</v>
          </cell>
          <cell r="CV319">
            <v>790</v>
          </cell>
          <cell r="CW319">
            <v>35.909090909090907</v>
          </cell>
          <cell r="CX319">
            <v>1631.8571428571429</v>
          </cell>
          <cell r="CY319">
            <v>74.175324675324674</v>
          </cell>
          <cell r="CZ319">
            <v>0</v>
          </cell>
          <cell r="DA319">
            <v>0</v>
          </cell>
          <cell r="DB319">
            <v>1631.8571428571429</v>
          </cell>
          <cell r="DC319">
            <v>74.175324675324674</v>
          </cell>
        </row>
        <row r="320">
          <cell r="A320">
            <v>30</v>
          </cell>
          <cell r="B320" t="str">
            <v>CO</v>
          </cell>
          <cell r="C320" t="str">
            <v>I</v>
          </cell>
          <cell r="D320" t="str">
            <v>63112-0B010</v>
          </cell>
          <cell r="E320" t="str">
            <v>PANEL, ROOF, RR</v>
          </cell>
          <cell r="J320">
            <v>1</v>
          </cell>
          <cell r="K320">
            <v>1</v>
          </cell>
          <cell r="L320">
            <v>1</v>
          </cell>
          <cell r="M320">
            <v>1</v>
          </cell>
          <cell r="N320">
            <v>1</v>
          </cell>
          <cell r="O320">
            <v>1</v>
          </cell>
          <cell r="P320">
            <v>1</v>
          </cell>
          <cell r="Q320">
            <v>1</v>
          </cell>
          <cell r="R320">
            <v>1</v>
          </cell>
          <cell r="S320">
            <v>1</v>
          </cell>
          <cell r="T320">
            <v>1</v>
          </cell>
          <cell r="U320">
            <v>1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K320">
            <v>1</v>
          </cell>
          <cell r="AL320">
            <v>1</v>
          </cell>
          <cell r="AM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Z320">
            <v>1</v>
          </cell>
          <cell r="BA320">
            <v>1</v>
          </cell>
          <cell r="BB320">
            <v>1</v>
          </cell>
          <cell r="BC320">
            <v>1</v>
          </cell>
          <cell r="CK320">
            <v>1</v>
          </cell>
          <cell r="CL320">
            <v>4</v>
          </cell>
          <cell r="CM320">
            <v>0.32336655592469549</v>
          </cell>
          <cell r="CN320">
            <v>470</v>
          </cell>
          <cell r="CO320">
            <v>21.363636363636363</v>
          </cell>
          <cell r="CP320">
            <v>990</v>
          </cell>
          <cell r="CQ320">
            <v>45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1460</v>
          </cell>
          <cell r="CY320">
            <v>66.36363636363636</v>
          </cell>
          <cell r="CZ320">
            <v>0</v>
          </cell>
          <cell r="DA320">
            <v>0</v>
          </cell>
          <cell r="DB320">
            <v>1460</v>
          </cell>
          <cell r="DC320">
            <v>66.36363636363636</v>
          </cell>
        </row>
        <row r="321">
          <cell r="A321">
            <v>26</v>
          </cell>
          <cell r="B321" t="str">
            <v>CO</v>
          </cell>
          <cell r="C321" t="str">
            <v>I</v>
          </cell>
          <cell r="D321" t="str">
            <v>63155-0B010</v>
          </cell>
          <cell r="E321" t="str">
            <v>PLATE, ROOF PNL ROOF INFORCEMENT</v>
          </cell>
          <cell r="J321">
            <v>2</v>
          </cell>
          <cell r="K321">
            <v>2</v>
          </cell>
          <cell r="L321">
            <v>2</v>
          </cell>
          <cell r="M321">
            <v>2</v>
          </cell>
          <cell r="N321">
            <v>2</v>
          </cell>
          <cell r="O321">
            <v>2</v>
          </cell>
          <cell r="P321">
            <v>2</v>
          </cell>
          <cell r="Q321">
            <v>2</v>
          </cell>
          <cell r="R321">
            <v>2</v>
          </cell>
          <cell r="S321">
            <v>2</v>
          </cell>
          <cell r="T321">
            <v>2</v>
          </cell>
          <cell r="U321">
            <v>2</v>
          </cell>
          <cell r="V321">
            <v>1</v>
          </cell>
          <cell r="X321">
            <v>1</v>
          </cell>
          <cell r="Z321">
            <v>2</v>
          </cell>
          <cell r="AA321">
            <v>2</v>
          </cell>
          <cell r="AB321">
            <v>2</v>
          </cell>
          <cell r="AC321">
            <v>2</v>
          </cell>
          <cell r="AD321">
            <v>2</v>
          </cell>
          <cell r="AE321">
            <v>2</v>
          </cell>
          <cell r="AF321">
            <v>2</v>
          </cell>
          <cell r="AG321">
            <v>2</v>
          </cell>
          <cell r="AH321">
            <v>2</v>
          </cell>
          <cell r="AI321">
            <v>2</v>
          </cell>
          <cell r="AZ321">
            <v>2</v>
          </cell>
          <cell r="BA321">
            <v>2</v>
          </cell>
          <cell r="BB321">
            <v>2</v>
          </cell>
          <cell r="BC321">
            <v>2</v>
          </cell>
          <cell r="CK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</row>
        <row r="322">
          <cell r="A322">
            <v>27</v>
          </cell>
          <cell r="B322" t="str">
            <v>CO</v>
          </cell>
          <cell r="C322" t="str">
            <v>I</v>
          </cell>
          <cell r="D322" t="str">
            <v>63161-0B010</v>
          </cell>
          <cell r="E322" t="str">
            <v>PLATE ROOF HEADER PANEL NO. 1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V322">
            <v>1</v>
          </cell>
          <cell r="W322">
            <v>1</v>
          </cell>
          <cell r="X322">
            <v>1</v>
          </cell>
          <cell r="Y322">
            <v>1</v>
          </cell>
          <cell r="CK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</row>
        <row r="323">
          <cell r="A323">
            <v>36</v>
          </cell>
          <cell r="B323" t="str">
            <v>CO</v>
          </cell>
          <cell r="C323" t="str">
            <v>I</v>
          </cell>
          <cell r="D323" t="str">
            <v>63162-0B010</v>
          </cell>
          <cell r="E323" t="str">
            <v>PLATE ROOF HEADER PANEL NO. 2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V323">
            <v>1</v>
          </cell>
          <cell r="W323">
            <v>1</v>
          </cell>
          <cell r="X323">
            <v>1</v>
          </cell>
          <cell r="Y323">
            <v>1</v>
          </cell>
          <cell r="CK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</row>
        <row r="324">
          <cell r="A324">
            <v>37</v>
          </cell>
          <cell r="B324" t="str">
            <v>CO</v>
          </cell>
          <cell r="C324" t="str">
            <v>I</v>
          </cell>
          <cell r="D324" t="str">
            <v>64113-0B010</v>
          </cell>
          <cell r="E324" t="str">
            <v>PNL BACK CORNER OUTER RH</v>
          </cell>
          <cell r="F324">
            <v>1</v>
          </cell>
          <cell r="G324">
            <v>1</v>
          </cell>
          <cell r="H324">
            <v>1</v>
          </cell>
          <cell r="I324">
            <v>1</v>
          </cell>
          <cell r="BE324">
            <v>1</v>
          </cell>
          <cell r="CK324">
            <v>1</v>
          </cell>
          <cell r="CL324">
            <v>4</v>
          </cell>
          <cell r="CM324">
            <v>0.19763174063568098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197.30730897009963</v>
          </cell>
          <cell r="CS324">
            <v>8.9685140440954374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197.30730897009963</v>
          </cell>
          <cell r="CY324">
            <v>8.9685140440954374</v>
          </cell>
          <cell r="CZ324">
            <v>695</v>
          </cell>
          <cell r="DA324">
            <v>31.59090909090909</v>
          </cell>
          <cell r="DB324">
            <v>892.3073089700996</v>
          </cell>
          <cell r="DC324">
            <v>40.559423135004529</v>
          </cell>
        </row>
        <row r="325">
          <cell r="A325">
            <v>38</v>
          </cell>
          <cell r="B325" t="str">
            <v>CO</v>
          </cell>
          <cell r="C325" t="str">
            <v>I</v>
          </cell>
          <cell r="D325" t="str">
            <v>64114-0B010</v>
          </cell>
          <cell r="E325" t="str">
            <v>PNL BACK CORNER OUTER LH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BE325">
            <v>1</v>
          </cell>
          <cell r="CK325">
            <v>1</v>
          </cell>
          <cell r="CL325">
            <v>4</v>
          </cell>
          <cell r="CM325">
            <v>0.19763174063568098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197.30730897009963</v>
          </cell>
          <cell r="CS325">
            <v>8.9685140440954374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197.30730897009963</v>
          </cell>
          <cell r="CY325">
            <v>8.9685140440954374</v>
          </cell>
          <cell r="CZ325">
            <v>695</v>
          </cell>
          <cell r="DA325">
            <v>31.59090909090909</v>
          </cell>
          <cell r="DB325">
            <v>892.3073089700996</v>
          </cell>
          <cell r="DC325">
            <v>40.559423135004529</v>
          </cell>
        </row>
        <row r="326">
          <cell r="A326" t="str">
            <v>new</v>
          </cell>
          <cell r="B326" t="str">
            <v>CO</v>
          </cell>
          <cell r="C326" t="str">
            <v>I</v>
          </cell>
          <cell r="D326" t="str">
            <v>67145-0B010</v>
          </cell>
          <cell r="E326" t="str">
            <v>PNL FR DOOR HINGE SIDE RH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J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Z326">
            <v>1</v>
          </cell>
          <cell r="BA326">
            <v>1</v>
          </cell>
          <cell r="BB326">
            <v>1</v>
          </cell>
          <cell r="BC326">
            <v>1</v>
          </cell>
          <cell r="CK326">
            <v>0.5</v>
          </cell>
          <cell r="CL326">
            <v>4</v>
          </cell>
          <cell r="CM326">
            <v>0.18660022148394242</v>
          </cell>
          <cell r="CN326">
            <v>0</v>
          </cell>
          <cell r="CO326">
            <v>0</v>
          </cell>
          <cell r="CP326">
            <v>495</v>
          </cell>
          <cell r="CQ326">
            <v>22.5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495</v>
          </cell>
          <cell r="CY326">
            <v>22.5</v>
          </cell>
          <cell r="CZ326">
            <v>347.5</v>
          </cell>
          <cell r="DA326">
            <v>15.795454545454545</v>
          </cell>
          <cell r="DB326">
            <v>842.5</v>
          </cell>
          <cell r="DC326">
            <v>38.295454545454547</v>
          </cell>
        </row>
        <row r="327">
          <cell r="A327">
            <v>39</v>
          </cell>
          <cell r="B327" t="str">
            <v>CO</v>
          </cell>
          <cell r="C327" t="str">
            <v>I</v>
          </cell>
          <cell r="D327" t="str">
            <v>67146-0B010</v>
          </cell>
          <cell r="E327" t="str">
            <v>PNL FR DOOR HINGE SIDE LH</v>
          </cell>
          <cell r="F327">
            <v>1</v>
          </cell>
          <cell r="G327">
            <v>1</v>
          </cell>
          <cell r="H327">
            <v>1</v>
          </cell>
          <cell r="I327">
            <v>1</v>
          </cell>
          <cell r="J327">
            <v>1</v>
          </cell>
          <cell r="K327">
            <v>1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Q327">
            <v>1</v>
          </cell>
          <cell r="R327">
            <v>1</v>
          </cell>
          <cell r="S327">
            <v>1</v>
          </cell>
          <cell r="T327">
            <v>1</v>
          </cell>
          <cell r="U327">
            <v>1</v>
          </cell>
          <cell r="V327">
            <v>1</v>
          </cell>
          <cell r="W327">
            <v>1</v>
          </cell>
          <cell r="X327">
            <v>1</v>
          </cell>
          <cell r="Y327">
            <v>1</v>
          </cell>
          <cell r="Z327">
            <v>1</v>
          </cell>
          <cell r="AA327">
            <v>1</v>
          </cell>
          <cell r="AB327">
            <v>1</v>
          </cell>
          <cell r="AC327">
            <v>1</v>
          </cell>
          <cell r="AD327">
            <v>1</v>
          </cell>
          <cell r="AE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1</v>
          </cell>
          <cell r="AZ327">
            <v>1</v>
          </cell>
          <cell r="BA327">
            <v>1</v>
          </cell>
          <cell r="BB327">
            <v>1</v>
          </cell>
          <cell r="BC327">
            <v>1</v>
          </cell>
          <cell r="CK327">
            <v>0.5</v>
          </cell>
          <cell r="CM327">
            <v>0.18660022148394242</v>
          </cell>
          <cell r="CN327">
            <v>0</v>
          </cell>
          <cell r="CO327">
            <v>0</v>
          </cell>
          <cell r="CP327">
            <v>495</v>
          </cell>
          <cell r="CQ327">
            <v>22.5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495</v>
          </cell>
          <cell r="CY327">
            <v>22.5</v>
          </cell>
          <cell r="CZ327">
            <v>347.5</v>
          </cell>
          <cell r="DA327">
            <v>15.795454545454545</v>
          </cell>
          <cell r="DB327">
            <v>842.5</v>
          </cell>
          <cell r="DC327">
            <v>38.295454545454547</v>
          </cell>
        </row>
        <row r="328">
          <cell r="A328">
            <v>40</v>
          </cell>
          <cell r="B328" t="str">
            <v>CO</v>
          </cell>
          <cell r="C328" t="str">
            <v>I</v>
          </cell>
          <cell r="D328" t="str">
            <v>67147-0B010</v>
          </cell>
          <cell r="E328" t="str">
            <v>PNL RR DOOR HINGE SIDE RH</v>
          </cell>
          <cell r="J328">
            <v>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1</v>
          </cell>
          <cell r="Q328">
            <v>1</v>
          </cell>
          <cell r="R328">
            <v>1</v>
          </cell>
          <cell r="S328">
            <v>1</v>
          </cell>
          <cell r="T328">
            <v>1</v>
          </cell>
          <cell r="U328">
            <v>1</v>
          </cell>
          <cell r="Z328">
            <v>1</v>
          </cell>
          <cell r="AA328">
            <v>1</v>
          </cell>
          <cell r="AB328">
            <v>1</v>
          </cell>
          <cell r="AC328">
            <v>1</v>
          </cell>
          <cell r="AD328">
            <v>1</v>
          </cell>
          <cell r="AE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1</v>
          </cell>
          <cell r="AZ328">
            <v>1</v>
          </cell>
          <cell r="BA328">
            <v>1</v>
          </cell>
          <cell r="BB328">
            <v>1</v>
          </cell>
          <cell r="BC328">
            <v>1</v>
          </cell>
          <cell r="CK328">
            <v>0.5</v>
          </cell>
          <cell r="CL328">
            <v>4</v>
          </cell>
          <cell r="CM328">
            <v>0.10963455149501661</v>
          </cell>
          <cell r="CN328">
            <v>0</v>
          </cell>
          <cell r="CO328">
            <v>0</v>
          </cell>
          <cell r="CP328">
            <v>495</v>
          </cell>
          <cell r="CQ328">
            <v>22.5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495</v>
          </cell>
          <cell r="CY328">
            <v>22.5</v>
          </cell>
          <cell r="CZ328">
            <v>0</v>
          </cell>
          <cell r="DA328">
            <v>0</v>
          </cell>
          <cell r="DB328">
            <v>495</v>
          </cell>
          <cell r="DC328">
            <v>22.5</v>
          </cell>
        </row>
        <row r="329">
          <cell r="A329" t="str">
            <v>new</v>
          </cell>
          <cell r="B329" t="str">
            <v>CO</v>
          </cell>
          <cell r="C329" t="str">
            <v>I</v>
          </cell>
          <cell r="D329" t="str">
            <v>67148-0B010</v>
          </cell>
          <cell r="E329" t="str">
            <v>PNL RR DOOR HINGE SIDE LH</v>
          </cell>
          <cell r="J329">
            <v>1</v>
          </cell>
          <cell r="K329">
            <v>1</v>
          </cell>
          <cell r="L329">
            <v>1</v>
          </cell>
          <cell r="M329">
            <v>1</v>
          </cell>
          <cell r="N329">
            <v>1</v>
          </cell>
          <cell r="O329">
            <v>1</v>
          </cell>
          <cell r="P329">
            <v>1</v>
          </cell>
          <cell r="Q329">
            <v>1</v>
          </cell>
          <cell r="R329">
            <v>1</v>
          </cell>
          <cell r="S329">
            <v>1</v>
          </cell>
          <cell r="T329">
            <v>1</v>
          </cell>
          <cell r="U329">
            <v>1</v>
          </cell>
          <cell r="Z329">
            <v>1</v>
          </cell>
          <cell r="AA329">
            <v>1</v>
          </cell>
          <cell r="AB329">
            <v>1</v>
          </cell>
          <cell r="AC329">
            <v>1</v>
          </cell>
          <cell r="AD329">
            <v>1</v>
          </cell>
          <cell r="AE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Z329">
            <v>1</v>
          </cell>
          <cell r="BA329">
            <v>1</v>
          </cell>
          <cell r="BB329">
            <v>1</v>
          </cell>
          <cell r="BC329">
            <v>1</v>
          </cell>
          <cell r="CK329">
            <v>0.5</v>
          </cell>
          <cell r="CM329">
            <v>0.10963455149501661</v>
          </cell>
          <cell r="CN329">
            <v>0</v>
          </cell>
          <cell r="CO329">
            <v>0</v>
          </cell>
          <cell r="CP329">
            <v>495</v>
          </cell>
          <cell r="CQ329">
            <v>22.5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495</v>
          </cell>
          <cell r="CY329">
            <v>22.5</v>
          </cell>
          <cell r="CZ329">
            <v>0</v>
          </cell>
          <cell r="DA329">
            <v>0</v>
          </cell>
          <cell r="DB329">
            <v>495</v>
          </cell>
          <cell r="DC329">
            <v>22.5</v>
          </cell>
        </row>
        <row r="330">
          <cell r="A330">
            <v>31</v>
          </cell>
          <cell r="B330" t="str">
            <v>I</v>
          </cell>
          <cell r="C330" t="str">
            <v>I</v>
          </cell>
          <cell r="D330" t="str">
            <v>58371-0B030</v>
          </cell>
          <cell r="E330" t="str">
            <v>PANEL, BODY LWR BACK, OUTER</v>
          </cell>
          <cell r="AR330">
            <v>0</v>
          </cell>
          <cell r="AS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O330">
            <v>0</v>
          </cell>
          <cell r="BP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L330">
            <v>4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</row>
        <row r="331">
          <cell r="A331">
            <v>32</v>
          </cell>
          <cell r="B331" t="str">
            <v>CO</v>
          </cell>
          <cell r="C331" t="str">
            <v>I</v>
          </cell>
          <cell r="D331" t="str">
            <v>58372-0B020</v>
          </cell>
          <cell r="E331" t="str">
            <v>PANEL, BODY LWR BACK, INNER</v>
          </cell>
          <cell r="AK331">
            <v>1</v>
          </cell>
          <cell r="AL331">
            <v>1</v>
          </cell>
          <cell r="AM331">
            <v>1</v>
          </cell>
          <cell r="AN331">
            <v>0</v>
          </cell>
          <cell r="AO331">
            <v>1</v>
          </cell>
          <cell r="AP331">
            <v>1</v>
          </cell>
          <cell r="AQ331">
            <v>1</v>
          </cell>
          <cell r="AR331">
            <v>0</v>
          </cell>
          <cell r="AS331">
            <v>0</v>
          </cell>
          <cell r="AT331">
            <v>0</v>
          </cell>
          <cell r="AU331">
            <v>1</v>
          </cell>
          <cell r="AV331">
            <v>0</v>
          </cell>
          <cell r="AW331">
            <v>1</v>
          </cell>
          <cell r="AX331">
            <v>1</v>
          </cell>
          <cell r="BE331">
            <v>1</v>
          </cell>
          <cell r="BF331">
            <v>1</v>
          </cell>
          <cell r="BG331">
            <v>1</v>
          </cell>
          <cell r="BH331">
            <v>1</v>
          </cell>
          <cell r="BI331">
            <v>1</v>
          </cell>
          <cell r="BJ331">
            <v>1</v>
          </cell>
          <cell r="BK331">
            <v>1</v>
          </cell>
          <cell r="BL331">
            <v>1</v>
          </cell>
          <cell r="BM331">
            <v>1</v>
          </cell>
          <cell r="BN331">
            <v>1</v>
          </cell>
          <cell r="BO331">
            <v>1</v>
          </cell>
          <cell r="BP331">
            <v>1</v>
          </cell>
          <cell r="BT331">
            <v>1</v>
          </cell>
          <cell r="BU331">
            <v>1</v>
          </cell>
          <cell r="BV331">
            <v>1</v>
          </cell>
          <cell r="BW331">
            <v>1</v>
          </cell>
          <cell r="BX331">
            <v>1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1</v>
          </cell>
          <cell r="CF331">
            <v>1</v>
          </cell>
          <cell r="CG331">
            <v>1</v>
          </cell>
          <cell r="CH331">
            <v>1</v>
          </cell>
          <cell r="CI331">
            <v>1</v>
          </cell>
          <cell r="CJ331">
            <v>1</v>
          </cell>
          <cell r="CK331">
            <v>0.5</v>
          </cell>
          <cell r="CM331">
            <v>0.27353266888150607</v>
          </cell>
          <cell r="CN331">
            <v>155</v>
          </cell>
          <cell r="CO331">
            <v>7.0454545454545459</v>
          </cell>
          <cell r="CP331">
            <v>0</v>
          </cell>
          <cell r="CQ331">
            <v>0</v>
          </cell>
          <cell r="CR331">
            <v>685</v>
          </cell>
          <cell r="CS331">
            <v>31.136363636363637</v>
          </cell>
          <cell r="CT331">
            <v>0</v>
          </cell>
          <cell r="CU331">
            <v>0</v>
          </cell>
          <cell r="CV331">
            <v>395</v>
          </cell>
          <cell r="CW331">
            <v>17.954545454545453</v>
          </cell>
          <cell r="CX331">
            <v>1235</v>
          </cell>
          <cell r="CY331">
            <v>56.136363636363633</v>
          </cell>
          <cell r="CZ331">
            <v>0</v>
          </cell>
          <cell r="DA331">
            <v>0</v>
          </cell>
          <cell r="DB331">
            <v>1235</v>
          </cell>
          <cell r="DC331">
            <v>56.136363636363633</v>
          </cell>
        </row>
        <row r="332">
          <cell r="A332">
            <v>33</v>
          </cell>
          <cell r="B332" t="str">
            <v>CO</v>
          </cell>
          <cell r="C332" t="str">
            <v>B4-I</v>
          </cell>
          <cell r="D332" t="str">
            <v>61631-0B010</v>
          </cell>
          <cell r="E332" t="str">
            <v>PANEL, QTR WHEEL HOUSE, OUTER RH</v>
          </cell>
          <cell r="J332">
            <v>1</v>
          </cell>
          <cell r="K332">
            <v>1</v>
          </cell>
          <cell r="L332">
            <v>1</v>
          </cell>
          <cell r="M332">
            <v>1</v>
          </cell>
          <cell r="N332">
            <v>1</v>
          </cell>
          <cell r="O332">
            <v>1</v>
          </cell>
          <cell r="P332">
            <v>1</v>
          </cell>
          <cell r="Q332">
            <v>1</v>
          </cell>
          <cell r="R332">
            <v>1</v>
          </cell>
          <cell r="S332">
            <v>1</v>
          </cell>
          <cell r="T332">
            <v>1</v>
          </cell>
          <cell r="U332">
            <v>1</v>
          </cell>
          <cell r="Z332">
            <v>1</v>
          </cell>
          <cell r="AA332">
            <v>1</v>
          </cell>
          <cell r="AB332">
            <v>1</v>
          </cell>
          <cell r="AC332">
            <v>1</v>
          </cell>
          <cell r="AD332">
            <v>1</v>
          </cell>
          <cell r="AE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1</v>
          </cell>
          <cell r="AZ332">
            <v>1</v>
          </cell>
          <cell r="BA332">
            <v>1</v>
          </cell>
          <cell r="BB332">
            <v>1</v>
          </cell>
          <cell r="BC332">
            <v>1</v>
          </cell>
          <cell r="CK332">
            <v>1</v>
          </cell>
          <cell r="CL332">
            <v>4</v>
          </cell>
          <cell r="CM332">
            <v>0.21926910299003322</v>
          </cell>
          <cell r="CN332">
            <v>0</v>
          </cell>
          <cell r="CO332">
            <v>0</v>
          </cell>
          <cell r="CP332">
            <v>990</v>
          </cell>
          <cell r="CQ332">
            <v>45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990</v>
          </cell>
          <cell r="CY332">
            <v>45</v>
          </cell>
          <cell r="CZ332">
            <v>0</v>
          </cell>
          <cell r="DA332">
            <v>0</v>
          </cell>
          <cell r="DB332">
            <v>990</v>
          </cell>
          <cell r="DC332">
            <v>45</v>
          </cell>
        </row>
        <row r="333">
          <cell r="A333">
            <v>34</v>
          </cell>
          <cell r="B333" t="str">
            <v>CO</v>
          </cell>
          <cell r="C333" t="str">
            <v>B4-I</v>
          </cell>
          <cell r="D333" t="str">
            <v>61631-0B020</v>
          </cell>
          <cell r="E333" t="str">
            <v>PANEL, QTR WHEEL HOUSE, OUTER RH</v>
          </cell>
          <cell r="AK333">
            <v>1</v>
          </cell>
          <cell r="AL333">
            <v>1</v>
          </cell>
          <cell r="AM333">
            <v>1</v>
          </cell>
          <cell r="AN333">
            <v>1</v>
          </cell>
          <cell r="AO333">
            <v>1</v>
          </cell>
          <cell r="AP333">
            <v>1</v>
          </cell>
          <cell r="AQ333">
            <v>1</v>
          </cell>
          <cell r="AR333">
            <v>1</v>
          </cell>
          <cell r="AS333">
            <v>1</v>
          </cell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O333">
            <v>1</v>
          </cell>
          <cell r="BP333">
            <v>1</v>
          </cell>
          <cell r="CK333">
            <v>1</v>
          </cell>
          <cell r="CL333">
            <v>4</v>
          </cell>
          <cell r="CM333">
            <v>0.1864578389495333</v>
          </cell>
          <cell r="CN333">
            <v>470</v>
          </cell>
          <cell r="CO333">
            <v>21.363636363636363</v>
          </cell>
          <cell r="CP333">
            <v>0</v>
          </cell>
          <cell r="CQ333">
            <v>0</v>
          </cell>
          <cell r="CR333">
            <v>371.85714285714289</v>
          </cell>
          <cell r="CS333">
            <v>16.902597402597404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841.85714285714289</v>
          </cell>
          <cell r="CY333">
            <v>38.266233766233768</v>
          </cell>
          <cell r="CZ333">
            <v>0</v>
          </cell>
          <cell r="DA333">
            <v>0</v>
          </cell>
          <cell r="DB333">
            <v>841.85714285714289</v>
          </cell>
          <cell r="DC333">
            <v>38.266233766233768</v>
          </cell>
        </row>
        <row r="334">
          <cell r="A334">
            <v>35</v>
          </cell>
          <cell r="B334" t="str">
            <v>CO</v>
          </cell>
          <cell r="C334" t="str">
            <v>I</v>
          </cell>
          <cell r="D334" t="str">
            <v>61631-YZC10</v>
          </cell>
          <cell r="E334" t="str">
            <v>PNL, QTR WHEEL HOUSE, OTR RH</v>
          </cell>
          <cell r="F334">
            <v>1</v>
          </cell>
          <cell r="H334">
            <v>1</v>
          </cell>
          <cell r="CK334">
            <v>1</v>
          </cell>
          <cell r="CL334">
            <v>3</v>
          </cell>
          <cell r="CM334">
            <v>0.15393133997785161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695</v>
          </cell>
          <cell r="DA334">
            <v>31.59090909090909</v>
          </cell>
          <cell r="DB334">
            <v>695</v>
          </cell>
          <cell r="DC334">
            <v>31.59090909090909</v>
          </cell>
        </row>
        <row r="335">
          <cell r="A335">
            <v>36</v>
          </cell>
          <cell r="B335" t="str">
            <v>CO</v>
          </cell>
          <cell r="C335" t="str">
            <v>B4-I</v>
          </cell>
          <cell r="D335" t="str">
            <v>61632-0B010</v>
          </cell>
          <cell r="E335" t="str">
            <v>PANEL, QTR WHEEL HOUSE, OUTER LH</v>
          </cell>
          <cell r="J335">
            <v>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Q335">
            <v>1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  <cell r="Z335">
            <v>1</v>
          </cell>
          <cell r="AA335">
            <v>1</v>
          </cell>
          <cell r="AB335">
            <v>1</v>
          </cell>
          <cell r="AC335">
            <v>1</v>
          </cell>
          <cell r="AD335">
            <v>1</v>
          </cell>
          <cell r="AE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1</v>
          </cell>
          <cell r="AZ335">
            <v>1</v>
          </cell>
          <cell r="BA335">
            <v>1</v>
          </cell>
          <cell r="BB335">
            <v>1</v>
          </cell>
          <cell r="BC335">
            <v>1</v>
          </cell>
          <cell r="CK335">
            <v>1</v>
          </cell>
          <cell r="CL335">
            <v>4</v>
          </cell>
          <cell r="CM335">
            <v>0.21926910299003322</v>
          </cell>
          <cell r="CN335">
            <v>0</v>
          </cell>
          <cell r="CO335">
            <v>0</v>
          </cell>
          <cell r="CP335">
            <v>990</v>
          </cell>
          <cell r="CQ335">
            <v>45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990</v>
          </cell>
          <cell r="CY335">
            <v>45</v>
          </cell>
          <cell r="CZ335">
            <v>0</v>
          </cell>
          <cell r="DA335">
            <v>0</v>
          </cell>
          <cell r="DB335">
            <v>990</v>
          </cell>
          <cell r="DC335">
            <v>45</v>
          </cell>
        </row>
        <row r="336">
          <cell r="A336">
            <v>37</v>
          </cell>
          <cell r="B336" t="str">
            <v>CO</v>
          </cell>
          <cell r="C336" t="str">
            <v>B4-I</v>
          </cell>
          <cell r="D336" t="str">
            <v>61632-0B020</v>
          </cell>
          <cell r="E336" t="str">
            <v>PANEL, QTR WHEEL HOUSE, OUTER LH</v>
          </cell>
          <cell r="AK336">
            <v>1</v>
          </cell>
          <cell r="AL336">
            <v>1</v>
          </cell>
          <cell r="AM336">
            <v>1</v>
          </cell>
          <cell r="AN336">
            <v>1</v>
          </cell>
          <cell r="AO336">
            <v>1</v>
          </cell>
          <cell r="AP336">
            <v>1</v>
          </cell>
          <cell r="AQ336">
            <v>1</v>
          </cell>
          <cell r="AR336">
            <v>1</v>
          </cell>
          <cell r="AS336">
            <v>1</v>
          </cell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O336">
            <v>1</v>
          </cell>
          <cell r="BP336">
            <v>1</v>
          </cell>
          <cell r="CK336">
            <v>1</v>
          </cell>
          <cell r="CL336">
            <v>4</v>
          </cell>
          <cell r="CM336">
            <v>0.1864578389495333</v>
          </cell>
          <cell r="CN336">
            <v>470</v>
          </cell>
          <cell r="CO336">
            <v>21.363636363636363</v>
          </cell>
          <cell r="CP336">
            <v>0</v>
          </cell>
          <cell r="CQ336">
            <v>0</v>
          </cell>
          <cell r="CR336">
            <v>371.85714285714289</v>
          </cell>
          <cell r="CS336">
            <v>16.902597402597404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841.85714285714289</v>
          </cell>
          <cell r="CY336">
            <v>38.266233766233768</v>
          </cell>
          <cell r="CZ336">
            <v>0</v>
          </cell>
          <cell r="DA336">
            <v>0</v>
          </cell>
          <cell r="DB336">
            <v>841.85714285714289</v>
          </cell>
          <cell r="DC336">
            <v>38.266233766233768</v>
          </cell>
        </row>
        <row r="337">
          <cell r="A337">
            <v>38</v>
          </cell>
          <cell r="B337" t="str">
            <v>CO</v>
          </cell>
          <cell r="C337" t="str">
            <v>I</v>
          </cell>
          <cell r="D337" t="str">
            <v>61632-YZC10</v>
          </cell>
          <cell r="E337" t="str">
            <v>PNL, QTR WHEEL HOUSE, OTR LH</v>
          </cell>
          <cell r="F337">
            <v>1</v>
          </cell>
          <cell r="H337">
            <v>1</v>
          </cell>
          <cell r="CK337">
            <v>1</v>
          </cell>
          <cell r="CL337">
            <v>3</v>
          </cell>
          <cell r="CM337">
            <v>0.15393133997785161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695</v>
          </cell>
          <cell r="DA337">
            <v>31.59090909090909</v>
          </cell>
          <cell r="DB337">
            <v>695</v>
          </cell>
          <cell r="DC337">
            <v>31.59090909090909</v>
          </cell>
        </row>
        <row r="340">
          <cell r="CK340">
            <v>27</v>
          </cell>
          <cell r="CM340">
            <v>8.1604588617491345</v>
          </cell>
        </row>
        <row r="342">
          <cell r="D342" t="str">
            <v>LOADING  I =</v>
          </cell>
          <cell r="F342" t="str">
            <v>DOM =</v>
          </cell>
          <cell r="G342">
            <v>0.78977272727272729</v>
          </cell>
          <cell r="H342" t="str">
            <v>PHIL =</v>
          </cell>
          <cell r="I342">
            <v>0.5107954545454545</v>
          </cell>
          <cell r="J342" t="str">
            <v>MAL =</v>
          </cell>
          <cell r="K342">
            <v>1.6875</v>
          </cell>
          <cell r="L342" t="str">
            <v>TAI=</v>
          </cell>
          <cell r="M342">
            <v>0.53857633645424352</v>
          </cell>
          <cell r="N342" t="str">
            <v>VIET=</v>
          </cell>
          <cell r="O342">
            <v>0</v>
          </cell>
          <cell r="CK342" t="str">
            <v>SA =</v>
          </cell>
          <cell r="CL342">
            <v>0.66022727272727266</v>
          </cell>
        </row>
        <row r="343">
          <cell r="D343" t="str">
            <v>TOT.  LOADING  I =</v>
          </cell>
          <cell r="F343">
            <v>4.1868717909996978</v>
          </cell>
          <cell r="H343" t="str">
            <v>HOURS</v>
          </cell>
        </row>
        <row r="345">
          <cell r="A345" t="str">
            <v>LINE Z - 600 T</v>
          </cell>
        </row>
        <row r="347">
          <cell r="A347">
            <v>1</v>
          </cell>
          <cell r="B347" t="str">
            <v>CO</v>
          </cell>
          <cell r="C347" t="str">
            <v>Z</v>
          </cell>
          <cell r="D347" t="str">
            <v>51221-0B010</v>
          </cell>
          <cell r="E347" t="str">
            <v>CROSSMEMBER, FR SUSPENSION NO1</v>
          </cell>
          <cell r="F347">
            <v>1</v>
          </cell>
          <cell r="G347">
            <v>1</v>
          </cell>
          <cell r="H347">
            <v>1</v>
          </cell>
          <cell r="I347">
            <v>1</v>
          </cell>
          <cell r="J347">
            <v>1</v>
          </cell>
          <cell r="K347">
            <v>1</v>
          </cell>
          <cell r="L347">
            <v>1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B347">
            <v>1</v>
          </cell>
          <cell r="AC347">
            <v>1</v>
          </cell>
          <cell r="AD347">
            <v>1</v>
          </cell>
          <cell r="AE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Z347">
            <v>1</v>
          </cell>
          <cell r="BA347">
            <v>1</v>
          </cell>
          <cell r="BB347">
            <v>1</v>
          </cell>
          <cell r="BC347">
            <v>1</v>
          </cell>
          <cell r="BT347">
            <v>1</v>
          </cell>
          <cell r="BU347">
            <v>1</v>
          </cell>
          <cell r="BV347">
            <v>1</v>
          </cell>
          <cell r="BW347">
            <v>1</v>
          </cell>
          <cell r="BX347">
            <v>1</v>
          </cell>
          <cell r="BY347">
            <v>1</v>
          </cell>
          <cell r="CB347">
            <v>1</v>
          </cell>
          <cell r="CC347">
            <v>1</v>
          </cell>
          <cell r="CK347">
            <v>1</v>
          </cell>
          <cell r="CL347">
            <v>4</v>
          </cell>
          <cell r="CM347">
            <v>0.43300110741971209</v>
          </cell>
          <cell r="CN347">
            <v>0</v>
          </cell>
          <cell r="CO347">
            <v>0</v>
          </cell>
          <cell r="CP347">
            <v>990</v>
          </cell>
          <cell r="CQ347">
            <v>45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270</v>
          </cell>
          <cell r="CW347">
            <v>12.272727272727273</v>
          </cell>
          <cell r="CX347">
            <v>1260</v>
          </cell>
          <cell r="CY347">
            <v>57.272727272727273</v>
          </cell>
          <cell r="CZ347">
            <v>695</v>
          </cell>
          <cell r="DA347">
            <v>31.59090909090909</v>
          </cell>
          <cell r="DB347">
            <v>1955</v>
          </cell>
          <cell r="DC347">
            <v>88.86363636363636</v>
          </cell>
        </row>
        <row r="348">
          <cell r="A348">
            <v>2</v>
          </cell>
          <cell r="B348" t="str">
            <v>CO</v>
          </cell>
          <cell r="C348" t="str">
            <v>Z</v>
          </cell>
          <cell r="D348" t="str">
            <v>51221-0B020</v>
          </cell>
          <cell r="E348" t="str">
            <v>CROSSMEMBER, FR SUSPENSION NO1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BE348">
            <v>1</v>
          </cell>
          <cell r="BF348">
            <v>1</v>
          </cell>
          <cell r="BG348">
            <v>1</v>
          </cell>
          <cell r="BH348">
            <v>1</v>
          </cell>
          <cell r="BI348">
            <v>1</v>
          </cell>
          <cell r="BJ348">
            <v>1</v>
          </cell>
          <cell r="BQ348">
            <v>1</v>
          </cell>
          <cell r="BR348">
            <v>1</v>
          </cell>
          <cell r="CF348">
            <v>1</v>
          </cell>
          <cell r="CG348">
            <v>1</v>
          </cell>
          <cell r="CH348">
            <v>1</v>
          </cell>
          <cell r="CI348">
            <v>1</v>
          </cell>
          <cell r="CK348">
            <v>1</v>
          </cell>
          <cell r="CL348">
            <v>4</v>
          </cell>
          <cell r="CM348">
            <v>0.46957060812426643</v>
          </cell>
          <cell r="CN348">
            <v>470</v>
          </cell>
          <cell r="CO348">
            <v>21.363636363636363</v>
          </cell>
          <cell r="CP348">
            <v>0</v>
          </cell>
          <cell r="CQ348">
            <v>0</v>
          </cell>
          <cell r="CR348">
            <v>940.11129568106298</v>
          </cell>
          <cell r="CS348">
            <v>42.7323316218665</v>
          </cell>
          <cell r="CT348">
            <v>200</v>
          </cell>
          <cell r="CU348">
            <v>9.0909090909090917</v>
          </cell>
          <cell r="CV348">
            <v>510</v>
          </cell>
          <cell r="CW348">
            <v>23.181818181818183</v>
          </cell>
          <cell r="CX348">
            <v>2120.111295681063</v>
          </cell>
          <cell r="CY348">
            <v>96.368695258230147</v>
          </cell>
          <cell r="CZ348">
            <v>0</v>
          </cell>
          <cell r="DA348">
            <v>0</v>
          </cell>
          <cell r="DB348">
            <v>2120.111295681063</v>
          </cell>
          <cell r="DC348">
            <v>96.368695258230147</v>
          </cell>
        </row>
        <row r="349">
          <cell r="A349">
            <v>3</v>
          </cell>
          <cell r="B349" t="str">
            <v>CO</v>
          </cell>
          <cell r="C349" t="str">
            <v>Z-B</v>
          </cell>
          <cell r="D349" t="str">
            <v>51241-0B010</v>
          </cell>
          <cell r="E349" t="str">
            <v>CROSSMEMBER, FRAME, NO. 4</v>
          </cell>
          <cell r="F349">
            <v>1</v>
          </cell>
          <cell r="G349">
            <v>1</v>
          </cell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Q349">
            <v>1</v>
          </cell>
          <cell r="BR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CB349">
            <v>1</v>
          </cell>
          <cell r="CC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K349">
            <v>1</v>
          </cell>
          <cell r="CL349">
            <v>4</v>
          </cell>
          <cell r="CM349">
            <v>0.69435215946843853</v>
          </cell>
          <cell r="CN349">
            <v>470</v>
          </cell>
          <cell r="CO349">
            <v>21.363636363636363</v>
          </cell>
          <cell r="CP349">
            <v>990</v>
          </cell>
          <cell r="CQ349">
            <v>45</v>
          </cell>
          <cell r="CR349">
            <v>0</v>
          </cell>
          <cell r="CS349">
            <v>0</v>
          </cell>
          <cell r="CT349">
            <v>200</v>
          </cell>
          <cell r="CU349">
            <v>9.0909090909090917</v>
          </cell>
          <cell r="CV349">
            <v>780</v>
          </cell>
          <cell r="CW349">
            <v>35.454545454545453</v>
          </cell>
          <cell r="CX349">
            <v>2440</v>
          </cell>
          <cell r="CY349">
            <v>110.90909090909091</v>
          </cell>
          <cell r="CZ349">
            <v>695</v>
          </cell>
          <cell r="DA349">
            <v>31.59090909090909</v>
          </cell>
          <cell r="DB349">
            <v>3135</v>
          </cell>
          <cell r="DC349">
            <v>142.5</v>
          </cell>
        </row>
        <row r="350">
          <cell r="A350">
            <v>4</v>
          </cell>
          <cell r="B350" t="str">
            <v>CO</v>
          </cell>
          <cell r="C350" t="str">
            <v>Z</v>
          </cell>
          <cell r="D350" t="str">
            <v>53711-0B050.70</v>
          </cell>
          <cell r="E350" t="str">
            <v xml:space="preserve">APRON, FR FENDER, RH 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T350">
            <v>1</v>
          </cell>
          <cell r="AU350">
            <v>1</v>
          </cell>
          <cell r="AV350">
            <v>1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CK350">
            <v>0.5</v>
          </cell>
          <cell r="CL350">
            <v>1.5</v>
          </cell>
          <cell r="CM350">
            <v>4.9833887043189369E-2</v>
          </cell>
          <cell r="CN350">
            <v>225</v>
          </cell>
          <cell r="CO350">
            <v>10.227272727272727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225</v>
          </cell>
          <cell r="CY350">
            <v>10.227272727272727</v>
          </cell>
          <cell r="CZ350">
            <v>0</v>
          </cell>
          <cell r="DA350">
            <v>0</v>
          </cell>
          <cell r="DB350">
            <v>225</v>
          </cell>
          <cell r="DC350">
            <v>10.227272727272727</v>
          </cell>
        </row>
        <row r="351">
          <cell r="A351">
            <v>5</v>
          </cell>
          <cell r="B351" t="str">
            <v>CO</v>
          </cell>
          <cell r="C351" t="str">
            <v>Z</v>
          </cell>
          <cell r="D351" t="str">
            <v>53711-0B150</v>
          </cell>
          <cell r="E351" t="str">
            <v>APRON FR FENDER  RH</v>
          </cell>
          <cell r="AD351">
            <v>1</v>
          </cell>
          <cell r="AE351">
            <v>1</v>
          </cell>
          <cell r="AF351">
            <v>1</v>
          </cell>
          <cell r="AG351">
            <v>1</v>
          </cell>
          <cell r="AH351">
            <v>1</v>
          </cell>
          <cell r="AI351">
            <v>1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CK351">
            <v>0.5</v>
          </cell>
          <cell r="CL351">
            <v>1.5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</row>
        <row r="352">
          <cell r="A352">
            <v>6</v>
          </cell>
          <cell r="B352" t="str">
            <v>CO</v>
          </cell>
          <cell r="C352" t="str">
            <v>Z</v>
          </cell>
          <cell r="D352" t="str">
            <v>53711-0B160</v>
          </cell>
          <cell r="E352" t="str">
            <v xml:space="preserve">APRON, FR FENDER, RH </v>
          </cell>
          <cell r="AR352">
            <v>1</v>
          </cell>
          <cell r="AS352">
            <v>1</v>
          </cell>
          <cell r="AW352">
            <v>1</v>
          </cell>
          <cell r="AX352">
            <v>1</v>
          </cell>
          <cell r="CK352">
            <v>0.5</v>
          </cell>
          <cell r="CL352">
            <v>1.5</v>
          </cell>
          <cell r="CM352">
            <v>2.2148394241417496E-3</v>
          </cell>
          <cell r="CN352">
            <v>10</v>
          </cell>
          <cell r="CO352">
            <v>0.45454545454545453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10</v>
          </cell>
          <cell r="CY352">
            <v>0.45454545454545453</v>
          </cell>
          <cell r="CZ352">
            <v>0</v>
          </cell>
          <cell r="DA352">
            <v>0</v>
          </cell>
          <cell r="DB352">
            <v>10</v>
          </cell>
          <cell r="DC352">
            <v>0.45454545454545453</v>
          </cell>
        </row>
        <row r="353">
          <cell r="A353">
            <v>7</v>
          </cell>
          <cell r="B353" t="str">
            <v>CO</v>
          </cell>
          <cell r="C353" t="str">
            <v>New</v>
          </cell>
          <cell r="D353" t="str">
            <v>53711-0B190</v>
          </cell>
          <cell r="E353" t="str">
            <v xml:space="preserve">APRON, FR FENDER, RH </v>
          </cell>
          <cell r="F353">
            <v>1</v>
          </cell>
          <cell r="G353">
            <v>1</v>
          </cell>
          <cell r="H353">
            <v>1</v>
          </cell>
          <cell r="I353">
            <v>1</v>
          </cell>
          <cell r="J353">
            <v>1</v>
          </cell>
          <cell r="K353">
            <v>1</v>
          </cell>
          <cell r="L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U353">
            <v>1</v>
          </cell>
          <cell r="V353">
            <v>1</v>
          </cell>
          <cell r="W353">
            <v>1</v>
          </cell>
          <cell r="X353">
            <v>1</v>
          </cell>
          <cell r="Y353">
            <v>1</v>
          </cell>
          <cell r="Z353">
            <v>1</v>
          </cell>
          <cell r="AA353">
            <v>1</v>
          </cell>
          <cell r="AB353">
            <v>1</v>
          </cell>
          <cell r="AC353">
            <v>1</v>
          </cell>
          <cell r="AZ353">
            <v>1</v>
          </cell>
          <cell r="BA353">
            <v>1</v>
          </cell>
          <cell r="BB353">
            <v>1</v>
          </cell>
          <cell r="BC353">
            <v>1</v>
          </cell>
          <cell r="CK353">
            <v>0.5</v>
          </cell>
          <cell r="CL353">
            <v>1.5</v>
          </cell>
          <cell r="CM353">
            <v>0.18660022148394242</v>
          </cell>
          <cell r="CN353">
            <v>0</v>
          </cell>
          <cell r="CO353">
            <v>0</v>
          </cell>
          <cell r="CP353">
            <v>495</v>
          </cell>
          <cell r="CQ353">
            <v>22.5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495</v>
          </cell>
          <cell r="CY353">
            <v>22.5</v>
          </cell>
          <cell r="CZ353">
            <v>347.5</v>
          </cell>
          <cell r="DA353">
            <v>15.795454545454545</v>
          </cell>
          <cell r="DB353">
            <v>842.5</v>
          </cell>
          <cell r="DC353">
            <v>38.295454545454547</v>
          </cell>
        </row>
        <row r="354">
          <cell r="A354">
            <v>8</v>
          </cell>
          <cell r="B354" t="str">
            <v>CO</v>
          </cell>
          <cell r="C354" t="str">
            <v>Z</v>
          </cell>
          <cell r="D354" t="str">
            <v>53712-0B030</v>
          </cell>
          <cell r="E354" t="str">
            <v xml:space="preserve">APRON FR FENDER LH </v>
          </cell>
          <cell r="H354">
            <v>1</v>
          </cell>
          <cell r="I354">
            <v>1</v>
          </cell>
          <cell r="K354">
            <v>1</v>
          </cell>
          <cell r="L354">
            <v>1</v>
          </cell>
          <cell r="M354">
            <v>1</v>
          </cell>
          <cell r="N354">
            <v>1</v>
          </cell>
          <cell r="P354">
            <v>1</v>
          </cell>
          <cell r="Q354">
            <v>1</v>
          </cell>
          <cell r="R354">
            <v>1</v>
          </cell>
          <cell r="S354">
            <v>1</v>
          </cell>
          <cell r="T354">
            <v>1</v>
          </cell>
          <cell r="U354">
            <v>1</v>
          </cell>
          <cell r="V354">
            <v>1</v>
          </cell>
          <cell r="W354">
            <v>1</v>
          </cell>
          <cell r="X354">
            <v>1</v>
          </cell>
          <cell r="Y354">
            <v>1</v>
          </cell>
          <cell r="Z354">
            <v>1</v>
          </cell>
          <cell r="AA354">
            <v>1</v>
          </cell>
          <cell r="AB354">
            <v>1</v>
          </cell>
          <cell r="AC354">
            <v>1</v>
          </cell>
          <cell r="AY354" t="str">
            <v>*</v>
          </cell>
          <cell r="AZ354">
            <v>1</v>
          </cell>
          <cell r="BA354">
            <v>1</v>
          </cell>
          <cell r="BB354">
            <v>1</v>
          </cell>
          <cell r="BC354">
            <v>1</v>
          </cell>
          <cell r="BD354" t="str">
            <v>*</v>
          </cell>
          <cell r="BS354" t="str">
            <v>*</v>
          </cell>
          <cell r="CK354">
            <v>0.5</v>
          </cell>
          <cell r="CL354">
            <v>1.5</v>
          </cell>
          <cell r="CM354">
            <v>0.10963455149501661</v>
          </cell>
          <cell r="CN354">
            <v>0</v>
          </cell>
          <cell r="CO354">
            <v>0</v>
          </cell>
          <cell r="CP354">
            <v>495</v>
          </cell>
          <cell r="CQ354">
            <v>22.5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495</v>
          </cell>
          <cell r="CY354">
            <v>22.5</v>
          </cell>
          <cell r="CZ354">
            <v>0</v>
          </cell>
          <cell r="DA354">
            <v>0</v>
          </cell>
          <cell r="DB354">
            <v>495</v>
          </cell>
          <cell r="DC354">
            <v>22.5</v>
          </cell>
        </row>
        <row r="355">
          <cell r="A355">
            <v>9</v>
          </cell>
          <cell r="B355" t="str">
            <v>CO</v>
          </cell>
          <cell r="C355" t="str">
            <v>Z</v>
          </cell>
          <cell r="D355" t="str">
            <v>53712-0B050.70</v>
          </cell>
          <cell r="E355" t="str">
            <v>APRON, FR FENDER, LH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>
            <v>1</v>
          </cell>
          <cell r="AP355">
            <v>1</v>
          </cell>
          <cell r="AQ355">
            <v>1</v>
          </cell>
          <cell r="AT355">
            <v>1</v>
          </cell>
          <cell r="AU355">
            <v>1</v>
          </cell>
          <cell r="AV355">
            <v>1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CK355">
            <v>0.5</v>
          </cell>
          <cell r="CL355">
            <v>1.5</v>
          </cell>
          <cell r="CM355">
            <v>4.9833887043189369E-2</v>
          </cell>
          <cell r="CN355">
            <v>225</v>
          </cell>
          <cell r="CO355">
            <v>10.227272727272727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225</v>
          </cell>
          <cell r="CY355">
            <v>10.227272727272727</v>
          </cell>
          <cell r="CZ355">
            <v>0</v>
          </cell>
          <cell r="DA355">
            <v>0</v>
          </cell>
          <cell r="DB355">
            <v>225</v>
          </cell>
          <cell r="DC355">
            <v>10.227272727272727</v>
          </cell>
        </row>
        <row r="356">
          <cell r="A356">
            <v>10</v>
          </cell>
          <cell r="B356" t="str">
            <v>CO</v>
          </cell>
          <cell r="C356" t="str">
            <v>Z</v>
          </cell>
          <cell r="D356" t="str">
            <v>53712-0B170</v>
          </cell>
          <cell r="E356" t="str">
            <v xml:space="preserve">APRON, FR FENDER, LH </v>
          </cell>
          <cell r="AR356">
            <v>1</v>
          </cell>
          <cell r="AS356">
            <v>1</v>
          </cell>
          <cell r="AW356">
            <v>1</v>
          </cell>
          <cell r="AX356">
            <v>1</v>
          </cell>
          <cell r="CK356">
            <v>0.5</v>
          </cell>
          <cell r="CL356">
            <v>1.5</v>
          </cell>
          <cell r="CM356">
            <v>2.2148394241417496E-3</v>
          </cell>
          <cell r="CN356">
            <v>10</v>
          </cell>
          <cell r="CO356">
            <v>0.45454545454545453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10</v>
          </cell>
          <cell r="CY356">
            <v>0.45454545454545453</v>
          </cell>
          <cell r="CZ356">
            <v>0</v>
          </cell>
          <cell r="DA356">
            <v>0</v>
          </cell>
          <cell r="DB356">
            <v>10</v>
          </cell>
          <cell r="DC356">
            <v>0.45454545454545453</v>
          </cell>
        </row>
        <row r="357">
          <cell r="A357">
            <v>11</v>
          </cell>
          <cell r="B357" t="str">
            <v>CO</v>
          </cell>
          <cell r="C357" t="str">
            <v>New</v>
          </cell>
          <cell r="D357" t="str">
            <v>53712-0B190</v>
          </cell>
          <cell r="E357" t="str">
            <v xml:space="preserve">APRON, FR FENDER, LH </v>
          </cell>
          <cell r="F357">
            <v>1</v>
          </cell>
          <cell r="G357">
            <v>1</v>
          </cell>
          <cell r="J357">
            <v>1</v>
          </cell>
          <cell r="O357">
            <v>1</v>
          </cell>
          <cell r="AD357">
            <v>1</v>
          </cell>
          <cell r="AE357">
            <v>1</v>
          </cell>
          <cell r="AF357">
            <v>1</v>
          </cell>
          <cell r="AG357">
            <v>1</v>
          </cell>
          <cell r="AH357">
            <v>1</v>
          </cell>
          <cell r="AI357">
            <v>1</v>
          </cell>
          <cell r="CK357">
            <v>0.5</v>
          </cell>
          <cell r="CL357">
            <v>1.5</v>
          </cell>
          <cell r="CM357">
            <v>7.6965669988925803E-2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347.5</v>
          </cell>
          <cell r="DA357">
            <v>15.795454545454545</v>
          </cell>
          <cell r="DB357">
            <v>347.5</v>
          </cell>
          <cell r="DC357">
            <v>15.795454545454545</v>
          </cell>
        </row>
        <row r="358">
          <cell r="A358">
            <v>12</v>
          </cell>
          <cell r="B358" t="str">
            <v>CO</v>
          </cell>
          <cell r="C358" t="str">
            <v>Z</v>
          </cell>
          <cell r="D358" t="str">
            <v>55111-0B010</v>
          </cell>
          <cell r="E358" t="str">
            <v>PANEL, DASH</v>
          </cell>
          <cell r="F358">
            <v>1</v>
          </cell>
          <cell r="G358">
            <v>1</v>
          </cell>
          <cell r="H358">
            <v>1</v>
          </cell>
          <cell r="I358">
            <v>1</v>
          </cell>
          <cell r="J358">
            <v>1</v>
          </cell>
          <cell r="N358">
            <v>1</v>
          </cell>
          <cell r="O358">
            <v>1</v>
          </cell>
          <cell r="S358">
            <v>1</v>
          </cell>
          <cell r="T358">
            <v>1</v>
          </cell>
          <cell r="U358">
            <v>1</v>
          </cell>
          <cell r="W358">
            <v>1</v>
          </cell>
          <cell r="X358">
            <v>1</v>
          </cell>
          <cell r="Y358">
            <v>1</v>
          </cell>
          <cell r="AA358">
            <v>1</v>
          </cell>
          <cell r="AC358">
            <v>1</v>
          </cell>
          <cell r="BC358">
            <v>0</v>
          </cell>
          <cell r="CK358">
            <v>1</v>
          </cell>
          <cell r="CL358">
            <v>4</v>
          </cell>
          <cell r="CM358">
            <v>0.15393133997785161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695</v>
          </cell>
          <cell r="DA358">
            <v>31.59090909090909</v>
          </cell>
          <cell r="DB358">
            <v>695</v>
          </cell>
          <cell r="DC358">
            <v>31.59090909090909</v>
          </cell>
        </row>
        <row r="359">
          <cell r="A359">
            <v>13</v>
          </cell>
          <cell r="B359" t="str">
            <v>CO</v>
          </cell>
          <cell r="C359" t="str">
            <v>Z</v>
          </cell>
          <cell r="D359" t="str">
            <v>55111-0B020</v>
          </cell>
          <cell r="E359" t="str">
            <v>PANEL, DASH</v>
          </cell>
          <cell r="K359">
            <v>1</v>
          </cell>
          <cell r="L359">
            <v>1</v>
          </cell>
          <cell r="M359">
            <v>1</v>
          </cell>
          <cell r="P359">
            <v>1</v>
          </cell>
          <cell r="Q359">
            <v>1</v>
          </cell>
          <cell r="R359">
            <v>1</v>
          </cell>
          <cell r="V359">
            <v>1</v>
          </cell>
          <cell r="Z359">
            <v>1</v>
          </cell>
          <cell r="AB359">
            <v>1</v>
          </cell>
          <cell r="AD359">
            <v>1</v>
          </cell>
          <cell r="AE359">
            <v>1</v>
          </cell>
          <cell r="AF359">
            <v>1</v>
          </cell>
          <cell r="AG359">
            <v>1</v>
          </cell>
          <cell r="AH359">
            <v>1</v>
          </cell>
          <cell r="AI359">
            <v>1</v>
          </cell>
          <cell r="AZ359">
            <v>1</v>
          </cell>
          <cell r="BA359">
            <v>1</v>
          </cell>
          <cell r="BB359">
            <v>1</v>
          </cell>
          <cell r="BC359">
            <v>1</v>
          </cell>
          <cell r="CK359">
            <v>1</v>
          </cell>
          <cell r="CL359">
            <v>4</v>
          </cell>
          <cell r="CM359">
            <v>0.21926910299003322</v>
          </cell>
          <cell r="CN359">
            <v>0</v>
          </cell>
          <cell r="CO359">
            <v>0</v>
          </cell>
          <cell r="CP359">
            <v>990</v>
          </cell>
          <cell r="CQ359">
            <v>45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990</v>
          </cell>
          <cell r="CY359">
            <v>45</v>
          </cell>
          <cell r="CZ359">
            <v>0</v>
          </cell>
          <cell r="DA359">
            <v>0</v>
          </cell>
          <cell r="DB359">
            <v>990</v>
          </cell>
          <cell r="DC359">
            <v>45</v>
          </cell>
        </row>
        <row r="360">
          <cell r="A360">
            <v>14</v>
          </cell>
          <cell r="B360" t="str">
            <v>CO</v>
          </cell>
          <cell r="C360" t="str">
            <v>Z</v>
          </cell>
          <cell r="D360" t="str">
            <v>55314-0B040</v>
          </cell>
          <cell r="E360" t="str">
            <v>PANEL, INSTRUMENT, LWR</v>
          </cell>
          <cell r="F360">
            <v>1</v>
          </cell>
          <cell r="G360">
            <v>1</v>
          </cell>
          <cell r="H360">
            <v>1</v>
          </cell>
          <cell r="I360">
            <v>1</v>
          </cell>
          <cell r="J360">
            <v>1</v>
          </cell>
          <cell r="K360">
            <v>1</v>
          </cell>
          <cell r="L360">
            <v>0</v>
          </cell>
          <cell r="M360">
            <v>1</v>
          </cell>
          <cell r="N360">
            <v>1</v>
          </cell>
          <cell r="O360">
            <v>1</v>
          </cell>
          <cell r="P360">
            <v>1</v>
          </cell>
          <cell r="Q360">
            <v>0</v>
          </cell>
          <cell r="R360">
            <v>0</v>
          </cell>
          <cell r="S360">
            <v>1</v>
          </cell>
          <cell r="T360">
            <v>1</v>
          </cell>
          <cell r="U360">
            <v>0</v>
          </cell>
          <cell r="V360">
            <v>1</v>
          </cell>
          <cell r="W360">
            <v>1</v>
          </cell>
          <cell r="X360">
            <v>1</v>
          </cell>
          <cell r="Y360">
            <v>1</v>
          </cell>
          <cell r="Z360">
            <v>1</v>
          </cell>
          <cell r="AA360">
            <v>1</v>
          </cell>
          <cell r="AB360">
            <v>1</v>
          </cell>
          <cell r="AC360">
            <v>0</v>
          </cell>
          <cell r="AD360">
            <v>1</v>
          </cell>
          <cell r="AE360">
            <v>1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Y360" t="str">
            <v>*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 t="str">
            <v>R</v>
          </cell>
          <cell r="BS360" t="str">
            <v>*</v>
          </cell>
          <cell r="BT360">
            <v>1</v>
          </cell>
          <cell r="BU360">
            <v>1</v>
          </cell>
          <cell r="BV360">
            <v>1</v>
          </cell>
          <cell r="BW360">
            <v>1</v>
          </cell>
          <cell r="BX360">
            <v>1</v>
          </cell>
          <cell r="BY360">
            <v>1</v>
          </cell>
          <cell r="BZ360">
            <v>1</v>
          </cell>
          <cell r="CA360">
            <v>1</v>
          </cell>
          <cell r="CB360">
            <v>1</v>
          </cell>
          <cell r="CC360">
            <v>1</v>
          </cell>
          <cell r="CD360">
            <v>1</v>
          </cell>
          <cell r="CE360">
            <v>1</v>
          </cell>
          <cell r="CK360">
            <v>0.5</v>
          </cell>
          <cell r="CL360">
            <v>4</v>
          </cell>
          <cell r="CM360">
            <v>0.1079734219269103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140</v>
          </cell>
          <cell r="CW360">
            <v>6.3636363636363633</v>
          </cell>
          <cell r="CX360">
            <v>140</v>
          </cell>
          <cell r="CY360">
            <v>6.3636363636363633</v>
          </cell>
          <cell r="CZ360">
            <v>347.5</v>
          </cell>
          <cell r="DA360">
            <v>15.795454545454545</v>
          </cell>
          <cell r="DB360">
            <v>487.5</v>
          </cell>
          <cell r="DC360">
            <v>22.159090909090907</v>
          </cell>
        </row>
        <row r="361">
          <cell r="A361">
            <v>15</v>
          </cell>
          <cell r="B361" t="str">
            <v>CO</v>
          </cell>
          <cell r="C361" t="str">
            <v>Z</v>
          </cell>
          <cell r="D361" t="str">
            <v>55314-0B060</v>
          </cell>
          <cell r="E361" t="str">
            <v>PANEL, INSTRUMENT, LWR CTR</v>
          </cell>
          <cell r="F361" t="str">
            <v/>
          </cell>
          <cell r="H361" t="str">
            <v/>
          </cell>
          <cell r="J361" t="str">
            <v/>
          </cell>
          <cell r="L361">
            <v>1</v>
          </cell>
          <cell r="N361" t="str">
            <v/>
          </cell>
          <cell r="P361" t="str">
            <v/>
          </cell>
          <cell r="Q361">
            <v>1</v>
          </cell>
          <cell r="R361">
            <v>1</v>
          </cell>
          <cell r="T361" t="str">
            <v/>
          </cell>
          <cell r="U361">
            <v>1</v>
          </cell>
          <cell r="V361" t="str">
            <v/>
          </cell>
          <cell r="X361" t="str">
            <v/>
          </cell>
          <cell r="Z361" t="str">
            <v/>
          </cell>
          <cell r="AB361" t="str">
            <v/>
          </cell>
          <cell r="AC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 t="str">
            <v/>
          </cell>
          <cell r="AL361" t="str">
            <v/>
          </cell>
          <cell r="AN361" t="str">
            <v/>
          </cell>
          <cell r="AZ361">
            <v>1</v>
          </cell>
          <cell r="BA361">
            <v>1</v>
          </cell>
          <cell r="BB361">
            <v>1</v>
          </cell>
          <cell r="BC361">
            <v>1</v>
          </cell>
          <cell r="CK361">
            <v>0.5</v>
          </cell>
          <cell r="CL361">
            <v>4</v>
          </cell>
          <cell r="CM361">
            <v>0.10963455149501661</v>
          </cell>
          <cell r="CN361">
            <v>0</v>
          </cell>
          <cell r="CO361">
            <v>0</v>
          </cell>
          <cell r="CP361">
            <v>495</v>
          </cell>
          <cell r="CQ361">
            <v>22.5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495</v>
          </cell>
          <cell r="CY361">
            <v>22.5</v>
          </cell>
          <cell r="CZ361">
            <v>0</v>
          </cell>
          <cell r="DA361">
            <v>0</v>
          </cell>
          <cell r="DB361">
            <v>495</v>
          </cell>
          <cell r="DC361">
            <v>22.5</v>
          </cell>
        </row>
        <row r="362">
          <cell r="A362">
            <v>16</v>
          </cell>
          <cell r="B362" t="str">
            <v>CO</v>
          </cell>
          <cell r="C362" t="str">
            <v>Z</v>
          </cell>
          <cell r="D362" t="str">
            <v>55317-0B040</v>
          </cell>
          <cell r="E362" t="str">
            <v>PANEL, INSTRUMENT SIDE</v>
          </cell>
          <cell r="F362">
            <v>1</v>
          </cell>
          <cell r="G362">
            <v>1</v>
          </cell>
          <cell r="H362">
            <v>1</v>
          </cell>
          <cell r="I362">
            <v>1</v>
          </cell>
          <cell r="J362">
            <v>1</v>
          </cell>
          <cell r="K362">
            <v>1</v>
          </cell>
          <cell r="L362">
            <v>0</v>
          </cell>
          <cell r="M362">
            <v>1</v>
          </cell>
          <cell r="N362">
            <v>1</v>
          </cell>
          <cell r="O362">
            <v>1</v>
          </cell>
          <cell r="P362">
            <v>1</v>
          </cell>
          <cell r="Q362">
            <v>0</v>
          </cell>
          <cell r="R362">
            <v>0</v>
          </cell>
          <cell r="S362">
            <v>1</v>
          </cell>
          <cell r="T362">
            <v>1</v>
          </cell>
          <cell r="U362">
            <v>0</v>
          </cell>
          <cell r="V362">
            <v>1</v>
          </cell>
          <cell r="W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B362">
            <v>1</v>
          </cell>
          <cell r="AC362">
            <v>0</v>
          </cell>
          <cell r="AD362">
            <v>1</v>
          </cell>
          <cell r="AE362">
            <v>1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Y362" t="str">
            <v>*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 t="str">
            <v>R</v>
          </cell>
          <cell r="BS362" t="str">
            <v>*</v>
          </cell>
          <cell r="BT362">
            <v>1</v>
          </cell>
          <cell r="BU362">
            <v>1</v>
          </cell>
          <cell r="BV362">
            <v>1</v>
          </cell>
          <cell r="BW362">
            <v>1</v>
          </cell>
          <cell r="BX362">
            <v>1</v>
          </cell>
          <cell r="BY362">
            <v>1</v>
          </cell>
          <cell r="BZ362">
            <v>1</v>
          </cell>
          <cell r="CA362">
            <v>1</v>
          </cell>
          <cell r="CB362">
            <v>1</v>
          </cell>
          <cell r="CC362">
            <v>1</v>
          </cell>
          <cell r="CD362">
            <v>1</v>
          </cell>
          <cell r="CE362">
            <v>1</v>
          </cell>
          <cell r="CK362">
            <v>0.5</v>
          </cell>
          <cell r="CM362">
            <v>0.1079734219269103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140</v>
          </cell>
          <cell r="CW362">
            <v>6.3636363636363633</v>
          </cell>
          <cell r="CX362">
            <v>140</v>
          </cell>
          <cell r="CY362">
            <v>6.3636363636363633</v>
          </cell>
          <cell r="CZ362">
            <v>347.5</v>
          </cell>
          <cell r="DA362">
            <v>15.795454545454545</v>
          </cell>
          <cell r="DB362">
            <v>487.5</v>
          </cell>
          <cell r="DC362">
            <v>22.159090909090907</v>
          </cell>
        </row>
        <row r="363">
          <cell r="A363">
            <v>17</v>
          </cell>
          <cell r="B363" t="str">
            <v>CO</v>
          </cell>
          <cell r="C363" t="str">
            <v>Z</v>
          </cell>
          <cell r="D363" t="str">
            <v>55317-0B060</v>
          </cell>
          <cell r="E363" t="str">
            <v>PANEL, INSTRUMENT SIDE, RH</v>
          </cell>
          <cell r="F363" t="str">
            <v/>
          </cell>
          <cell r="H363" t="str">
            <v/>
          </cell>
          <cell r="J363" t="str">
            <v/>
          </cell>
          <cell r="L363">
            <v>1</v>
          </cell>
          <cell r="N363" t="str">
            <v/>
          </cell>
          <cell r="P363" t="str">
            <v/>
          </cell>
          <cell r="Q363">
            <v>1</v>
          </cell>
          <cell r="R363">
            <v>1</v>
          </cell>
          <cell r="T363" t="str">
            <v/>
          </cell>
          <cell r="U363">
            <v>1</v>
          </cell>
          <cell r="V363" t="str">
            <v/>
          </cell>
          <cell r="X363" t="str">
            <v/>
          </cell>
          <cell r="Z363" t="str">
            <v/>
          </cell>
          <cell r="AB363" t="str">
            <v/>
          </cell>
          <cell r="AC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 t="str">
            <v/>
          </cell>
          <cell r="AL363" t="str">
            <v/>
          </cell>
          <cell r="AN363" t="str">
            <v/>
          </cell>
          <cell r="AZ363">
            <v>1</v>
          </cell>
          <cell r="BA363">
            <v>1</v>
          </cell>
          <cell r="BB363">
            <v>1</v>
          </cell>
          <cell r="BC363">
            <v>1</v>
          </cell>
          <cell r="CK363">
            <v>0.5</v>
          </cell>
          <cell r="CM363">
            <v>0.10963455149501661</v>
          </cell>
          <cell r="CN363">
            <v>0</v>
          </cell>
          <cell r="CO363">
            <v>0</v>
          </cell>
          <cell r="CP363">
            <v>495</v>
          </cell>
          <cell r="CQ363">
            <v>22.5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495</v>
          </cell>
          <cell r="CY363">
            <v>22.5</v>
          </cell>
          <cell r="CZ363">
            <v>0</v>
          </cell>
          <cell r="DA363">
            <v>0</v>
          </cell>
          <cell r="DB363">
            <v>495</v>
          </cell>
          <cell r="DC363">
            <v>22.5</v>
          </cell>
        </row>
        <row r="364">
          <cell r="A364">
            <v>18</v>
          </cell>
          <cell r="B364" t="str">
            <v>CO</v>
          </cell>
          <cell r="C364" t="str">
            <v>Z</v>
          </cell>
          <cell r="D364" t="str">
            <v>58377-0B010</v>
          </cell>
          <cell r="E364" t="str">
            <v>PANEL, BODY LWR BACK, RH</v>
          </cell>
          <cell r="J364">
            <v>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O364">
            <v>1</v>
          </cell>
          <cell r="P364">
            <v>1</v>
          </cell>
          <cell r="Q364">
            <v>1</v>
          </cell>
          <cell r="R364">
            <v>1</v>
          </cell>
          <cell r="S364">
            <v>1</v>
          </cell>
          <cell r="T364">
            <v>1</v>
          </cell>
          <cell r="U364">
            <v>1</v>
          </cell>
          <cell r="V364">
            <v>1</v>
          </cell>
          <cell r="W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B364">
            <v>1</v>
          </cell>
          <cell r="AC364">
            <v>1</v>
          </cell>
          <cell r="AD364">
            <v>1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K364">
            <v>1</v>
          </cell>
          <cell r="AL364">
            <v>1</v>
          </cell>
          <cell r="AM364">
            <v>1</v>
          </cell>
          <cell r="AN364">
            <v>1</v>
          </cell>
          <cell r="AO364">
            <v>1</v>
          </cell>
          <cell r="AP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Z364">
            <v>1</v>
          </cell>
          <cell r="BA364">
            <v>1</v>
          </cell>
          <cell r="BB364">
            <v>1</v>
          </cell>
          <cell r="BC364">
            <v>1</v>
          </cell>
          <cell r="BE364">
            <v>1</v>
          </cell>
          <cell r="BF364">
            <v>1</v>
          </cell>
          <cell r="BG364">
            <v>1</v>
          </cell>
          <cell r="BH364">
            <v>1</v>
          </cell>
          <cell r="BI364">
            <v>1</v>
          </cell>
          <cell r="BJ364">
            <v>1</v>
          </cell>
          <cell r="BK364">
            <v>1</v>
          </cell>
          <cell r="BL364">
            <v>1</v>
          </cell>
          <cell r="BM364">
            <v>1</v>
          </cell>
          <cell r="BN364">
            <v>1</v>
          </cell>
          <cell r="BO364">
            <v>1</v>
          </cell>
          <cell r="BP364">
            <v>1</v>
          </cell>
          <cell r="BQ364">
            <v>1</v>
          </cell>
          <cell r="BR364">
            <v>1</v>
          </cell>
          <cell r="BT364">
            <v>1</v>
          </cell>
          <cell r="BU364">
            <v>1</v>
          </cell>
          <cell r="BV364">
            <v>1</v>
          </cell>
          <cell r="BW364">
            <v>1</v>
          </cell>
          <cell r="BX364">
            <v>1</v>
          </cell>
          <cell r="BY364">
            <v>1</v>
          </cell>
          <cell r="BZ364">
            <v>1</v>
          </cell>
          <cell r="CA364">
            <v>1</v>
          </cell>
          <cell r="CB364">
            <v>1</v>
          </cell>
          <cell r="CC364">
            <v>1</v>
          </cell>
          <cell r="CD364">
            <v>1</v>
          </cell>
          <cell r="CE364">
            <v>1</v>
          </cell>
          <cell r="CF364">
            <v>1</v>
          </cell>
          <cell r="CG364">
            <v>1</v>
          </cell>
          <cell r="CH364">
            <v>1</v>
          </cell>
          <cell r="CI364">
            <v>1</v>
          </cell>
          <cell r="CJ364">
            <v>1</v>
          </cell>
          <cell r="CK364">
            <v>0.5</v>
          </cell>
          <cell r="CL364">
            <v>4</v>
          </cell>
          <cell r="CM364">
            <v>0.42303433001107421</v>
          </cell>
          <cell r="CN364">
            <v>235</v>
          </cell>
          <cell r="CO364">
            <v>10.681818181818182</v>
          </cell>
          <cell r="CP364">
            <v>495</v>
          </cell>
          <cell r="CQ364">
            <v>22.5</v>
          </cell>
          <cell r="CR364">
            <v>685</v>
          </cell>
          <cell r="CS364">
            <v>31.136363636363637</v>
          </cell>
          <cell r="CT364">
            <v>100</v>
          </cell>
          <cell r="CU364">
            <v>4.5454545454545459</v>
          </cell>
          <cell r="CV364">
            <v>395</v>
          </cell>
          <cell r="CW364">
            <v>17.954545454545453</v>
          </cell>
          <cell r="CX364">
            <v>1910</v>
          </cell>
          <cell r="CY364">
            <v>86.818181818181813</v>
          </cell>
          <cell r="CZ364">
            <v>0</v>
          </cell>
          <cell r="DA364">
            <v>0</v>
          </cell>
          <cell r="DB364">
            <v>1910</v>
          </cell>
          <cell r="DC364">
            <v>86.818181818181813</v>
          </cell>
        </row>
        <row r="365">
          <cell r="A365">
            <v>19</v>
          </cell>
          <cell r="B365" t="str">
            <v>CO</v>
          </cell>
          <cell r="C365" t="str">
            <v>Z</v>
          </cell>
          <cell r="D365" t="str">
            <v>58378-0B010</v>
          </cell>
          <cell r="E365" t="str">
            <v>PNL BODY LWR BACK LH</v>
          </cell>
          <cell r="J365">
            <v>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1</v>
          </cell>
          <cell r="Q365">
            <v>1</v>
          </cell>
          <cell r="R365">
            <v>1</v>
          </cell>
          <cell r="S365">
            <v>1</v>
          </cell>
          <cell r="T365">
            <v>1</v>
          </cell>
          <cell r="U365">
            <v>1</v>
          </cell>
          <cell r="V365">
            <v>1</v>
          </cell>
          <cell r="W365">
            <v>1</v>
          </cell>
          <cell r="X365">
            <v>1</v>
          </cell>
          <cell r="Y365">
            <v>1</v>
          </cell>
          <cell r="Z365">
            <v>1</v>
          </cell>
          <cell r="AA365">
            <v>1</v>
          </cell>
          <cell r="AB365">
            <v>1</v>
          </cell>
          <cell r="AC365">
            <v>1</v>
          </cell>
          <cell r="AD365">
            <v>1</v>
          </cell>
          <cell r="AE365">
            <v>1</v>
          </cell>
          <cell r="AF365">
            <v>1</v>
          </cell>
          <cell r="AG365">
            <v>1</v>
          </cell>
          <cell r="AH365">
            <v>1</v>
          </cell>
          <cell r="AI365">
            <v>1</v>
          </cell>
          <cell r="AK365">
            <v>1</v>
          </cell>
          <cell r="AL365">
            <v>1</v>
          </cell>
          <cell r="AM365">
            <v>1</v>
          </cell>
          <cell r="AN365">
            <v>1</v>
          </cell>
          <cell r="AO365">
            <v>1</v>
          </cell>
          <cell r="AP365">
            <v>1</v>
          </cell>
          <cell r="AQ365">
            <v>1</v>
          </cell>
          <cell r="AR365">
            <v>1</v>
          </cell>
          <cell r="AS365">
            <v>1</v>
          </cell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Z365">
            <v>1</v>
          </cell>
          <cell r="BA365">
            <v>1</v>
          </cell>
          <cell r="BB365">
            <v>1</v>
          </cell>
          <cell r="BC365">
            <v>1</v>
          </cell>
          <cell r="BE365">
            <v>1</v>
          </cell>
          <cell r="BF365">
            <v>1</v>
          </cell>
          <cell r="BG365">
            <v>1</v>
          </cell>
          <cell r="BH365">
            <v>1</v>
          </cell>
          <cell r="BI365">
            <v>1</v>
          </cell>
          <cell r="BJ365">
            <v>1</v>
          </cell>
          <cell r="BK365">
            <v>1</v>
          </cell>
          <cell r="BL365">
            <v>1</v>
          </cell>
          <cell r="BM365">
            <v>1</v>
          </cell>
          <cell r="BN365">
            <v>1</v>
          </cell>
          <cell r="BO365">
            <v>1</v>
          </cell>
          <cell r="BP365">
            <v>1</v>
          </cell>
          <cell r="BQ365">
            <v>1</v>
          </cell>
          <cell r="BR365">
            <v>1</v>
          </cell>
          <cell r="BT365">
            <v>1</v>
          </cell>
          <cell r="BU365">
            <v>1</v>
          </cell>
          <cell r="BV365">
            <v>1</v>
          </cell>
          <cell r="BW365">
            <v>1</v>
          </cell>
          <cell r="BX365">
            <v>1</v>
          </cell>
          <cell r="BY365">
            <v>1</v>
          </cell>
          <cell r="BZ365">
            <v>1</v>
          </cell>
          <cell r="CA365">
            <v>1</v>
          </cell>
          <cell r="CB365">
            <v>1</v>
          </cell>
          <cell r="CC365">
            <v>1</v>
          </cell>
          <cell r="CD365">
            <v>1</v>
          </cell>
          <cell r="CE365">
            <v>1</v>
          </cell>
          <cell r="CF365">
            <v>1</v>
          </cell>
          <cell r="CG365">
            <v>1</v>
          </cell>
          <cell r="CH365">
            <v>1</v>
          </cell>
          <cell r="CI365">
            <v>1</v>
          </cell>
          <cell r="CJ365">
            <v>1</v>
          </cell>
          <cell r="CK365">
            <v>0.5</v>
          </cell>
          <cell r="CM365">
            <v>0.42303433001107421</v>
          </cell>
          <cell r="CN365">
            <v>235</v>
          </cell>
          <cell r="CO365">
            <v>10.681818181818182</v>
          </cell>
          <cell r="CP365">
            <v>495</v>
          </cell>
          <cell r="CQ365">
            <v>22.5</v>
          </cell>
          <cell r="CR365">
            <v>685</v>
          </cell>
          <cell r="CS365">
            <v>31.136363636363637</v>
          </cell>
          <cell r="CT365">
            <v>100</v>
          </cell>
          <cell r="CU365">
            <v>4.5454545454545459</v>
          </cell>
          <cell r="CV365">
            <v>395</v>
          </cell>
          <cell r="CW365">
            <v>17.954545454545453</v>
          </cell>
          <cell r="CX365">
            <v>1910</v>
          </cell>
          <cell r="CY365">
            <v>86.818181818181813</v>
          </cell>
          <cell r="CZ365">
            <v>0</v>
          </cell>
          <cell r="DA365">
            <v>0</v>
          </cell>
          <cell r="DB365">
            <v>1910</v>
          </cell>
          <cell r="DC365">
            <v>86.818181818181813</v>
          </cell>
        </row>
        <row r="366">
          <cell r="A366">
            <v>20</v>
          </cell>
          <cell r="B366" t="str">
            <v>CO</v>
          </cell>
          <cell r="C366" t="str">
            <v>Z</v>
          </cell>
          <cell r="D366" t="str">
            <v>61161-0B010</v>
          </cell>
          <cell r="E366" t="str">
            <v>PILLAR, FR BODY, INNER RH (P/U)</v>
          </cell>
          <cell r="F366">
            <v>1</v>
          </cell>
          <cell r="G366">
            <v>1</v>
          </cell>
          <cell r="H366">
            <v>1</v>
          </cell>
          <cell r="I366">
            <v>1</v>
          </cell>
          <cell r="BE366">
            <v>0</v>
          </cell>
          <cell r="CK366">
            <v>0.5</v>
          </cell>
          <cell r="CL366">
            <v>4</v>
          </cell>
          <cell r="CM366">
            <v>7.6965669988925803E-2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347.5</v>
          </cell>
          <cell r="DA366">
            <v>15.795454545454545</v>
          </cell>
          <cell r="DB366">
            <v>347.5</v>
          </cell>
          <cell r="DC366">
            <v>15.795454545454545</v>
          </cell>
        </row>
        <row r="367">
          <cell r="A367">
            <v>21</v>
          </cell>
          <cell r="B367" t="str">
            <v>CO</v>
          </cell>
          <cell r="C367" t="str">
            <v>Z</v>
          </cell>
          <cell r="D367" t="str">
            <v>61161-0B020</v>
          </cell>
          <cell r="E367" t="str">
            <v>PILLAR FR BODY INNER RH (VAN)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 t="str">
            <v>PH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 t="str">
            <v>*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 t="str">
            <v>*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O367">
            <v>1</v>
          </cell>
          <cell r="BP367">
            <v>1</v>
          </cell>
          <cell r="BS367" t="str">
            <v>*</v>
          </cell>
          <cell r="CK367">
            <v>0.5</v>
          </cell>
          <cell r="CL367">
            <v>4</v>
          </cell>
          <cell r="CM367">
            <v>4.1180193007435535E-2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185.92857142857144</v>
          </cell>
          <cell r="CS367">
            <v>8.4512987012987022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185.92857142857144</v>
          </cell>
          <cell r="CY367">
            <v>8.4512987012987022</v>
          </cell>
          <cell r="CZ367">
            <v>0</v>
          </cell>
          <cell r="DA367">
            <v>0</v>
          </cell>
          <cell r="DB367">
            <v>185.92857142857144</v>
          </cell>
          <cell r="DC367">
            <v>8.4512987012987022</v>
          </cell>
        </row>
        <row r="368">
          <cell r="A368">
            <v>22</v>
          </cell>
          <cell r="B368" t="str">
            <v>CO</v>
          </cell>
          <cell r="C368" t="str">
            <v>Z</v>
          </cell>
          <cell r="D368" t="str">
            <v>61161-0B050</v>
          </cell>
          <cell r="E368" t="str">
            <v>PILLAR, FR BODY, INNER RH</v>
          </cell>
          <cell r="F368" t="str">
            <v/>
          </cell>
          <cell r="H368" t="str">
            <v/>
          </cell>
          <cell r="J368">
            <v>1</v>
          </cell>
          <cell r="K368">
            <v>1</v>
          </cell>
          <cell r="L368">
            <v>1</v>
          </cell>
          <cell r="M368">
            <v>1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 t="str">
            <v/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CK368">
            <v>0.5</v>
          </cell>
          <cell r="CL368">
            <v>4</v>
          </cell>
          <cell r="CM368">
            <v>0.16168327796234774</v>
          </cell>
          <cell r="CN368">
            <v>235</v>
          </cell>
          <cell r="CO368">
            <v>10.681818181818182</v>
          </cell>
          <cell r="CP368">
            <v>495</v>
          </cell>
          <cell r="CQ368">
            <v>22.5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730</v>
          </cell>
          <cell r="CY368">
            <v>33.18181818181818</v>
          </cell>
          <cell r="CZ368">
            <v>0</v>
          </cell>
          <cell r="DA368">
            <v>0</v>
          </cell>
          <cell r="DB368">
            <v>730</v>
          </cell>
          <cell r="DC368">
            <v>33.18181818181818</v>
          </cell>
        </row>
        <row r="369">
          <cell r="A369">
            <v>23</v>
          </cell>
          <cell r="B369" t="str">
            <v>CO</v>
          </cell>
          <cell r="C369" t="str">
            <v>Z</v>
          </cell>
          <cell r="D369" t="str">
            <v>61162-0B010</v>
          </cell>
          <cell r="E369" t="str">
            <v>PILLAR, FR BODY, INNER LH (P/U)</v>
          </cell>
          <cell r="F369">
            <v>1</v>
          </cell>
          <cell r="G369">
            <v>1</v>
          </cell>
          <cell r="H369">
            <v>1</v>
          </cell>
          <cell r="I369">
            <v>1</v>
          </cell>
          <cell r="BE369">
            <v>0</v>
          </cell>
          <cell r="CK369">
            <v>0.5</v>
          </cell>
          <cell r="CM369">
            <v>7.6965669988925803E-2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347.5</v>
          </cell>
          <cell r="DA369">
            <v>15.795454545454545</v>
          </cell>
          <cell r="DB369">
            <v>347.5</v>
          </cell>
          <cell r="DC369">
            <v>15.795454545454545</v>
          </cell>
        </row>
        <row r="370">
          <cell r="A370">
            <v>24</v>
          </cell>
          <cell r="B370" t="str">
            <v>CO</v>
          </cell>
          <cell r="C370" t="str">
            <v>Z</v>
          </cell>
          <cell r="D370" t="str">
            <v>61162-0B020</v>
          </cell>
          <cell r="E370" t="str">
            <v>PILLAR FR BODY INNER LH (VAN)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 t="str">
            <v>PH</v>
          </cell>
          <cell r="AY370" t="str">
            <v>*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 t="str">
            <v>*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O370">
            <v>1</v>
          </cell>
          <cell r="BP370">
            <v>1</v>
          </cell>
          <cell r="BS370" t="str">
            <v>*</v>
          </cell>
          <cell r="CK370">
            <v>0.5</v>
          </cell>
          <cell r="CM370">
            <v>4.1180193007435535E-2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185.92857142857144</v>
          </cell>
          <cell r="CS370">
            <v>8.4512987012987022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185.92857142857144</v>
          </cell>
          <cell r="CY370">
            <v>8.4512987012987022</v>
          </cell>
          <cell r="CZ370">
            <v>0</v>
          </cell>
          <cell r="DA370">
            <v>0</v>
          </cell>
          <cell r="DB370">
            <v>185.92857142857144</v>
          </cell>
          <cell r="DC370">
            <v>8.4512987012987022</v>
          </cell>
        </row>
        <row r="371">
          <cell r="A371">
            <v>25</v>
          </cell>
          <cell r="B371" t="str">
            <v>CO</v>
          </cell>
          <cell r="C371" t="str">
            <v>Z</v>
          </cell>
          <cell r="D371" t="str">
            <v>61162-0B050</v>
          </cell>
          <cell r="E371" t="str">
            <v>PILLAR, FR BODY, INNER LH</v>
          </cell>
          <cell r="F371" t="str">
            <v/>
          </cell>
          <cell r="H371" t="str">
            <v/>
          </cell>
          <cell r="J371">
            <v>1</v>
          </cell>
          <cell r="K371">
            <v>1</v>
          </cell>
          <cell r="L371">
            <v>1</v>
          </cell>
          <cell r="M371">
            <v>1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 t="str">
            <v/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CK371">
            <v>0.5</v>
          </cell>
          <cell r="CM371">
            <v>0.16168327796234774</v>
          </cell>
          <cell r="CN371">
            <v>235</v>
          </cell>
          <cell r="CO371">
            <v>10.681818181818182</v>
          </cell>
          <cell r="CP371">
            <v>495</v>
          </cell>
          <cell r="CQ371">
            <v>22.5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730</v>
          </cell>
          <cell r="CY371">
            <v>33.18181818181818</v>
          </cell>
          <cell r="CZ371">
            <v>0</v>
          </cell>
          <cell r="DA371">
            <v>0</v>
          </cell>
          <cell r="DB371">
            <v>730</v>
          </cell>
          <cell r="DC371">
            <v>33.18181818181818</v>
          </cell>
        </row>
        <row r="372">
          <cell r="A372">
            <v>26</v>
          </cell>
          <cell r="B372" t="str">
            <v>CO</v>
          </cell>
          <cell r="C372" t="str">
            <v>Z</v>
          </cell>
          <cell r="D372" t="str">
            <v>61254-0BO10</v>
          </cell>
          <cell r="E372" t="str">
            <v>PILLAR, NO.3 INNER, RH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AB372">
            <v>1</v>
          </cell>
          <cell r="AC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CK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</row>
        <row r="373">
          <cell r="A373">
            <v>27</v>
          </cell>
          <cell r="B373" t="str">
            <v>CO</v>
          </cell>
          <cell r="C373" t="str">
            <v>Z</v>
          </cell>
          <cell r="D373" t="str">
            <v>61265-0B010</v>
          </cell>
          <cell r="E373" t="str">
            <v>PILLAR, NO.3 INNER, UPR LH</v>
          </cell>
          <cell r="O373">
            <v>1</v>
          </cell>
          <cell r="P373">
            <v>1</v>
          </cell>
          <cell r="Q373">
            <v>1</v>
          </cell>
          <cell r="R373">
            <v>1</v>
          </cell>
          <cell r="S373">
            <v>1</v>
          </cell>
          <cell r="T373">
            <v>1</v>
          </cell>
          <cell r="U373">
            <v>1</v>
          </cell>
          <cell r="AB373">
            <v>1</v>
          </cell>
          <cell r="AC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1</v>
          </cell>
          <cell r="AR373">
            <v>1</v>
          </cell>
          <cell r="AS373">
            <v>1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Z373">
            <v>1</v>
          </cell>
          <cell r="BA373">
            <v>1</v>
          </cell>
          <cell r="BB373">
            <v>1</v>
          </cell>
          <cell r="BC373">
            <v>1</v>
          </cell>
          <cell r="CK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</row>
        <row r="374">
          <cell r="A374">
            <v>28</v>
          </cell>
          <cell r="B374" t="str">
            <v>krw</v>
          </cell>
          <cell r="C374" t="str">
            <v>Z</v>
          </cell>
          <cell r="D374" t="str">
            <v>61343-0B010</v>
          </cell>
          <cell r="E374" t="str">
            <v>PILLAR,CTR BODY INNER RH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1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1</v>
          </cell>
          <cell r="P374">
            <v>0</v>
          </cell>
          <cell r="Q374">
            <v>0</v>
          </cell>
          <cell r="R374">
            <v>0</v>
          </cell>
          <cell r="S374">
            <v>1</v>
          </cell>
          <cell r="T374">
            <v>0</v>
          </cell>
          <cell r="U374">
            <v>0</v>
          </cell>
          <cell r="V374">
            <v>1</v>
          </cell>
          <cell r="W374">
            <v>0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CK374">
            <v>0</v>
          </cell>
          <cell r="CL374">
            <v>4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</row>
        <row r="375">
          <cell r="A375">
            <v>29</v>
          </cell>
          <cell r="B375" t="str">
            <v>krw</v>
          </cell>
          <cell r="C375" t="str">
            <v>Z</v>
          </cell>
          <cell r="D375" t="str">
            <v>61343-0B020</v>
          </cell>
          <cell r="E375" t="str">
            <v>PILLAR,CTR BODY INNER RH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1</v>
          </cell>
          <cell r="L375">
            <v>1</v>
          </cell>
          <cell r="M375">
            <v>1</v>
          </cell>
          <cell r="N375">
            <v>1</v>
          </cell>
          <cell r="O375">
            <v>0</v>
          </cell>
          <cell r="P375">
            <v>1</v>
          </cell>
          <cell r="Q375">
            <v>1</v>
          </cell>
          <cell r="R375">
            <v>1</v>
          </cell>
          <cell r="S375">
            <v>0</v>
          </cell>
          <cell r="T375">
            <v>1</v>
          </cell>
          <cell r="U375">
            <v>1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1</v>
          </cell>
          <cell r="AB375">
            <v>1</v>
          </cell>
          <cell r="AC375">
            <v>1</v>
          </cell>
          <cell r="AD375">
            <v>1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Z375">
            <v>1</v>
          </cell>
          <cell r="BA375">
            <v>1</v>
          </cell>
          <cell r="BB375">
            <v>1</v>
          </cell>
          <cell r="BC375">
            <v>1</v>
          </cell>
          <cell r="CK375">
            <v>0</v>
          </cell>
          <cell r="CL375">
            <v>4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</row>
        <row r="376">
          <cell r="A376">
            <v>30</v>
          </cell>
          <cell r="B376" t="str">
            <v>krw</v>
          </cell>
          <cell r="C376" t="str">
            <v>Z</v>
          </cell>
          <cell r="D376" t="str">
            <v>61344-0B010</v>
          </cell>
          <cell r="E376" t="str">
            <v>PILLAR,CTR BODY INNER LH (STD)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1</v>
          </cell>
          <cell r="P376">
            <v>0</v>
          </cell>
          <cell r="Q376">
            <v>0</v>
          </cell>
          <cell r="R376">
            <v>0</v>
          </cell>
          <cell r="S376">
            <v>1</v>
          </cell>
          <cell r="T376">
            <v>0</v>
          </cell>
          <cell r="U376">
            <v>0</v>
          </cell>
          <cell r="V376">
            <v>1</v>
          </cell>
          <cell r="W376">
            <v>0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CK376">
            <v>0</v>
          </cell>
          <cell r="CL376">
            <v>4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</row>
        <row r="377">
          <cell r="A377">
            <v>31</v>
          </cell>
          <cell r="B377" t="str">
            <v>krw</v>
          </cell>
          <cell r="C377" t="str">
            <v>Z</v>
          </cell>
          <cell r="D377" t="str">
            <v>61344-0B020</v>
          </cell>
          <cell r="E377" t="str">
            <v>PILLAR,CTR BODY INNER LH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1</v>
          </cell>
          <cell r="L377">
            <v>1</v>
          </cell>
          <cell r="M377">
            <v>1</v>
          </cell>
          <cell r="N377">
            <v>1</v>
          </cell>
          <cell r="O377">
            <v>0</v>
          </cell>
          <cell r="P377">
            <v>1</v>
          </cell>
          <cell r="Q377">
            <v>1</v>
          </cell>
          <cell r="R377">
            <v>1</v>
          </cell>
          <cell r="S377">
            <v>0</v>
          </cell>
          <cell r="T377">
            <v>1</v>
          </cell>
          <cell r="U377">
            <v>1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1</v>
          </cell>
          <cell r="AB377">
            <v>1</v>
          </cell>
          <cell r="AC377">
            <v>1</v>
          </cell>
          <cell r="AD377">
            <v>1</v>
          </cell>
          <cell r="AE377">
            <v>1</v>
          </cell>
          <cell r="AF377">
            <v>1</v>
          </cell>
          <cell r="AG377">
            <v>1</v>
          </cell>
          <cell r="AH377">
            <v>1</v>
          </cell>
          <cell r="AI377">
            <v>1</v>
          </cell>
          <cell r="AZ377">
            <v>1</v>
          </cell>
          <cell r="BA377">
            <v>1</v>
          </cell>
          <cell r="BB377">
            <v>1</v>
          </cell>
          <cell r="BC377">
            <v>1</v>
          </cell>
          <cell r="CK377">
            <v>0</v>
          </cell>
          <cell r="CL377">
            <v>4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</row>
        <row r="378">
          <cell r="A378">
            <v>32</v>
          </cell>
          <cell r="B378" t="str">
            <v>CO</v>
          </cell>
          <cell r="C378" t="str">
            <v>Z</v>
          </cell>
          <cell r="D378" t="str">
            <v>61625-0B010</v>
          </cell>
          <cell r="E378" t="str">
            <v>EXT QTR PNL RR RH</v>
          </cell>
          <cell r="J378">
            <v>1</v>
          </cell>
          <cell r="K378">
            <v>1</v>
          </cell>
          <cell r="L378">
            <v>1</v>
          </cell>
          <cell r="M378">
            <v>1</v>
          </cell>
          <cell r="N378">
            <v>1</v>
          </cell>
          <cell r="O378">
            <v>1</v>
          </cell>
          <cell r="P378">
            <v>1</v>
          </cell>
          <cell r="Q378">
            <v>1</v>
          </cell>
          <cell r="R378">
            <v>1</v>
          </cell>
          <cell r="S378">
            <v>1</v>
          </cell>
          <cell r="T378">
            <v>1</v>
          </cell>
          <cell r="U378">
            <v>1</v>
          </cell>
          <cell r="Z378">
            <v>1</v>
          </cell>
          <cell r="AA378">
            <v>1</v>
          </cell>
          <cell r="AB378">
            <v>1</v>
          </cell>
          <cell r="AC378">
            <v>1</v>
          </cell>
          <cell r="AD378">
            <v>1</v>
          </cell>
          <cell r="AE378">
            <v>1</v>
          </cell>
          <cell r="AF378">
            <v>1</v>
          </cell>
          <cell r="AG378">
            <v>1</v>
          </cell>
          <cell r="AH378">
            <v>1</v>
          </cell>
          <cell r="AI378">
            <v>1</v>
          </cell>
          <cell r="AZ378">
            <v>1</v>
          </cell>
          <cell r="BA378">
            <v>1</v>
          </cell>
          <cell r="BB378">
            <v>1</v>
          </cell>
          <cell r="BC378">
            <v>1</v>
          </cell>
          <cell r="CK378">
            <v>0.5</v>
          </cell>
          <cell r="CL378">
            <v>4</v>
          </cell>
          <cell r="CM378">
            <v>0.10963455149501661</v>
          </cell>
          <cell r="CN378">
            <v>0</v>
          </cell>
          <cell r="CO378">
            <v>0</v>
          </cell>
          <cell r="CP378">
            <v>495</v>
          </cell>
          <cell r="CQ378">
            <v>22.5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495</v>
          </cell>
          <cell r="CY378">
            <v>22.5</v>
          </cell>
          <cell r="CZ378">
            <v>0</v>
          </cell>
          <cell r="DA378">
            <v>0</v>
          </cell>
          <cell r="DB378">
            <v>495</v>
          </cell>
          <cell r="DC378">
            <v>22.5</v>
          </cell>
        </row>
        <row r="379">
          <cell r="A379">
            <v>33</v>
          </cell>
          <cell r="B379" t="str">
            <v>CO</v>
          </cell>
          <cell r="C379" t="str">
            <v>Z</v>
          </cell>
          <cell r="D379" t="str">
            <v>61626-0B010</v>
          </cell>
          <cell r="E379" t="str">
            <v>EXT,QTR PNL RR LH</v>
          </cell>
          <cell r="J379">
            <v>1</v>
          </cell>
          <cell r="K379">
            <v>1</v>
          </cell>
          <cell r="L379">
            <v>1</v>
          </cell>
          <cell r="M379">
            <v>1</v>
          </cell>
          <cell r="N379">
            <v>1</v>
          </cell>
          <cell r="O379">
            <v>1</v>
          </cell>
          <cell r="P379">
            <v>1</v>
          </cell>
          <cell r="Q379">
            <v>1</v>
          </cell>
          <cell r="R379">
            <v>1</v>
          </cell>
          <cell r="S379">
            <v>1</v>
          </cell>
          <cell r="T379">
            <v>1</v>
          </cell>
          <cell r="U379">
            <v>1</v>
          </cell>
          <cell r="Z379">
            <v>1</v>
          </cell>
          <cell r="AA379">
            <v>1</v>
          </cell>
          <cell r="AB379">
            <v>1</v>
          </cell>
          <cell r="AC379">
            <v>1</v>
          </cell>
          <cell r="AD379">
            <v>1</v>
          </cell>
          <cell r="AE379">
            <v>1</v>
          </cell>
          <cell r="AF379">
            <v>1</v>
          </cell>
          <cell r="AG379">
            <v>1</v>
          </cell>
          <cell r="AH379">
            <v>1</v>
          </cell>
          <cell r="AI379">
            <v>1</v>
          </cell>
          <cell r="AZ379">
            <v>1</v>
          </cell>
          <cell r="BA379">
            <v>1</v>
          </cell>
          <cell r="BB379">
            <v>1</v>
          </cell>
          <cell r="BC379">
            <v>1</v>
          </cell>
          <cell r="CK379">
            <v>0.5</v>
          </cell>
          <cell r="CM379">
            <v>0.10963455149501661</v>
          </cell>
          <cell r="CN379">
            <v>0</v>
          </cell>
          <cell r="CO379">
            <v>0</v>
          </cell>
          <cell r="CP379">
            <v>495</v>
          </cell>
          <cell r="CQ379">
            <v>22.5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495</v>
          </cell>
          <cell r="CY379">
            <v>22.5</v>
          </cell>
          <cell r="CZ379">
            <v>0</v>
          </cell>
          <cell r="DA379">
            <v>0</v>
          </cell>
          <cell r="DB379">
            <v>495</v>
          </cell>
          <cell r="DC379">
            <v>22.5</v>
          </cell>
        </row>
        <row r="380">
          <cell r="A380">
            <v>34</v>
          </cell>
          <cell r="B380" t="str">
            <v>CO</v>
          </cell>
          <cell r="C380" t="str">
            <v>Z</v>
          </cell>
          <cell r="D380" t="str">
            <v>61731-0B020</v>
          </cell>
          <cell r="E380" t="str">
            <v>PANEL, ROOF SIDE, INNER FR (LONG)</v>
          </cell>
          <cell r="O380">
            <v>1</v>
          </cell>
          <cell r="S380">
            <v>1</v>
          </cell>
          <cell r="AB380">
            <v>1</v>
          </cell>
          <cell r="AK380">
            <v>1</v>
          </cell>
          <cell r="AL380">
            <v>1</v>
          </cell>
          <cell r="AM380">
            <v>1</v>
          </cell>
          <cell r="AN380">
            <v>1</v>
          </cell>
          <cell r="AO380">
            <v>1</v>
          </cell>
          <cell r="AP380">
            <v>1</v>
          </cell>
          <cell r="AQ380">
            <v>1</v>
          </cell>
          <cell r="AR380">
            <v>1</v>
          </cell>
          <cell r="AS380">
            <v>1</v>
          </cell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Z380">
            <v>1</v>
          </cell>
          <cell r="BA380">
            <v>1</v>
          </cell>
          <cell r="BB380">
            <v>1</v>
          </cell>
          <cell r="BC380">
            <v>1</v>
          </cell>
          <cell r="CK380">
            <v>1</v>
          </cell>
          <cell r="CL380">
            <v>4</v>
          </cell>
          <cell r="CM380">
            <v>0.32336655592469549</v>
          </cell>
          <cell r="CN380">
            <v>470</v>
          </cell>
          <cell r="CO380">
            <v>21.363636363636363</v>
          </cell>
          <cell r="CP380">
            <v>990</v>
          </cell>
          <cell r="CQ380">
            <v>45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1460</v>
          </cell>
          <cell r="CY380">
            <v>66.36363636363636</v>
          </cell>
          <cell r="CZ380">
            <v>0</v>
          </cell>
          <cell r="DA380">
            <v>0</v>
          </cell>
          <cell r="DB380">
            <v>1460</v>
          </cell>
          <cell r="DC380">
            <v>66.36363636363636</v>
          </cell>
        </row>
        <row r="381">
          <cell r="A381">
            <v>35</v>
          </cell>
          <cell r="B381" t="str">
            <v>CO</v>
          </cell>
          <cell r="C381" t="str">
            <v>Z</v>
          </cell>
          <cell r="D381" t="str">
            <v>61732-0B020</v>
          </cell>
          <cell r="E381" t="str">
            <v>PANEL, ROOF SIDE, INNER LH (LONG)</v>
          </cell>
          <cell r="O381">
            <v>1</v>
          </cell>
          <cell r="P381">
            <v>1</v>
          </cell>
          <cell r="Q381">
            <v>1</v>
          </cell>
          <cell r="R381">
            <v>1</v>
          </cell>
          <cell r="S381">
            <v>1</v>
          </cell>
          <cell r="T381">
            <v>1</v>
          </cell>
          <cell r="U381">
            <v>1</v>
          </cell>
          <cell r="AB381">
            <v>1</v>
          </cell>
          <cell r="AC381">
            <v>1</v>
          </cell>
          <cell r="AF381">
            <v>1</v>
          </cell>
          <cell r="AG381">
            <v>1</v>
          </cell>
          <cell r="AH381">
            <v>1</v>
          </cell>
          <cell r="AI381">
            <v>1</v>
          </cell>
          <cell r="AK381">
            <v>1</v>
          </cell>
          <cell r="AL381">
            <v>1</v>
          </cell>
          <cell r="AM381">
            <v>1</v>
          </cell>
          <cell r="AN381">
            <v>1</v>
          </cell>
          <cell r="AO381">
            <v>1</v>
          </cell>
          <cell r="AP381">
            <v>1</v>
          </cell>
          <cell r="AQ381">
            <v>1</v>
          </cell>
          <cell r="AR381">
            <v>1</v>
          </cell>
          <cell r="AS381">
            <v>1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Z381">
            <v>1</v>
          </cell>
          <cell r="BA381">
            <v>1</v>
          </cell>
          <cell r="BB381">
            <v>1</v>
          </cell>
          <cell r="BC381">
            <v>1</v>
          </cell>
          <cell r="CK381">
            <v>1</v>
          </cell>
          <cell r="CL381">
            <v>4</v>
          </cell>
          <cell r="CM381">
            <v>0.32336655592469549</v>
          </cell>
          <cell r="CN381">
            <v>470</v>
          </cell>
          <cell r="CO381">
            <v>21.363636363636363</v>
          </cell>
          <cell r="CP381">
            <v>990</v>
          </cell>
          <cell r="CQ381">
            <v>45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1460</v>
          </cell>
          <cell r="CY381">
            <v>66.36363636363636</v>
          </cell>
          <cell r="CZ381">
            <v>0</v>
          </cell>
          <cell r="DA381">
            <v>0</v>
          </cell>
          <cell r="DB381">
            <v>1460</v>
          </cell>
          <cell r="DC381">
            <v>66.36363636363636</v>
          </cell>
        </row>
        <row r="382">
          <cell r="A382">
            <v>36</v>
          </cell>
          <cell r="B382" t="str">
            <v>CO</v>
          </cell>
          <cell r="C382" t="str">
            <v>Z</v>
          </cell>
          <cell r="D382" t="str">
            <v>61775-0B030</v>
          </cell>
          <cell r="E382" t="str">
            <v>FRAME, BACK DOOR OPENING SIDE, RH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F382">
            <v>1</v>
          </cell>
          <cell r="AG382">
            <v>1</v>
          </cell>
          <cell r="AH382">
            <v>1</v>
          </cell>
          <cell r="AI382">
            <v>1</v>
          </cell>
          <cell r="AK382">
            <v>1</v>
          </cell>
          <cell r="AL382">
            <v>1</v>
          </cell>
          <cell r="AM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1</v>
          </cell>
          <cell r="AR382">
            <v>1</v>
          </cell>
          <cell r="AS382">
            <v>1</v>
          </cell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Z382">
            <v>1</v>
          </cell>
          <cell r="BA382">
            <v>1</v>
          </cell>
          <cell r="BB382">
            <v>1</v>
          </cell>
          <cell r="BC382">
            <v>1</v>
          </cell>
          <cell r="BG382">
            <v>1</v>
          </cell>
          <cell r="BH382">
            <v>1</v>
          </cell>
          <cell r="BJ382">
            <v>1</v>
          </cell>
          <cell r="BK382">
            <v>1</v>
          </cell>
          <cell r="BL382">
            <v>1</v>
          </cell>
          <cell r="BM382">
            <v>1</v>
          </cell>
          <cell r="BN382">
            <v>1</v>
          </cell>
          <cell r="BO382">
            <v>1</v>
          </cell>
          <cell r="BP382">
            <v>1</v>
          </cell>
          <cell r="BT382">
            <v>1</v>
          </cell>
          <cell r="BU382">
            <v>1</v>
          </cell>
          <cell r="BV382">
            <v>1</v>
          </cell>
          <cell r="BW382">
            <v>1</v>
          </cell>
          <cell r="BX382">
            <v>1</v>
          </cell>
          <cell r="BY382">
            <v>1</v>
          </cell>
          <cell r="BZ382">
            <v>1</v>
          </cell>
          <cell r="CA382">
            <v>1</v>
          </cell>
          <cell r="CB382">
            <v>1</v>
          </cell>
          <cell r="CC382">
            <v>1</v>
          </cell>
          <cell r="CD382">
            <v>1</v>
          </cell>
          <cell r="CE382">
            <v>1</v>
          </cell>
          <cell r="CF382">
            <v>1</v>
          </cell>
          <cell r="CG382">
            <v>1</v>
          </cell>
          <cell r="CH382">
            <v>1</v>
          </cell>
          <cell r="CI382">
            <v>1</v>
          </cell>
          <cell r="CJ382">
            <v>1</v>
          </cell>
          <cell r="CK382">
            <v>0.5</v>
          </cell>
          <cell r="CL382">
            <v>2</v>
          </cell>
          <cell r="CM382">
            <v>0.37517981773563941</v>
          </cell>
          <cell r="CN382">
            <v>235</v>
          </cell>
          <cell r="CO382">
            <v>10.681818181818182</v>
          </cell>
          <cell r="CP382">
            <v>495</v>
          </cell>
          <cell r="CQ382">
            <v>22.5</v>
          </cell>
          <cell r="CR382">
            <v>568.93687707641197</v>
          </cell>
          <cell r="CS382">
            <v>25.860767139836909</v>
          </cell>
          <cell r="CT382">
            <v>0</v>
          </cell>
          <cell r="CU382">
            <v>0</v>
          </cell>
          <cell r="CV382">
            <v>395</v>
          </cell>
          <cell r="CW382">
            <v>17.954545454545453</v>
          </cell>
          <cell r="CX382">
            <v>1693.936877076412</v>
          </cell>
          <cell r="CY382">
            <v>76.997130776200549</v>
          </cell>
          <cell r="CZ382">
            <v>0</v>
          </cell>
          <cell r="DA382">
            <v>0</v>
          </cell>
          <cell r="DB382">
            <v>1693.936877076412</v>
          </cell>
          <cell r="DC382">
            <v>76.997130776200549</v>
          </cell>
        </row>
        <row r="383">
          <cell r="A383">
            <v>37</v>
          </cell>
          <cell r="B383" t="str">
            <v>CO</v>
          </cell>
          <cell r="C383" t="str">
            <v>Z</v>
          </cell>
          <cell r="D383" t="str">
            <v>61776-0B030</v>
          </cell>
          <cell r="E383" t="str">
            <v>FRAME BACK DOOR OPENING SIDE LH</v>
          </cell>
          <cell r="J383">
            <v>1</v>
          </cell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>
            <v>1</v>
          </cell>
          <cell r="U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>
            <v>1</v>
          </cell>
          <cell r="AP383">
            <v>1</v>
          </cell>
          <cell r="AQ383">
            <v>1</v>
          </cell>
          <cell r="AR383">
            <v>1</v>
          </cell>
          <cell r="AS383">
            <v>1</v>
          </cell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Z383">
            <v>1</v>
          </cell>
          <cell r="BA383">
            <v>1</v>
          </cell>
          <cell r="BB383">
            <v>1</v>
          </cell>
          <cell r="BC383">
            <v>1</v>
          </cell>
          <cell r="BG383">
            <v>1</v>
          </cell>
          <cell r="BH383">
            <v>1</v>
          </cell>
          <cell r="BJ383">
            <v>1</v>
          </cell>
          <cell r="BK383">
            <v>1</v>
          </cell>
          <cell r="BL383">
            <v>1</v>
          </cell>
          <cell r="BM383">
            <v>1</v>
          </cell>
          <cell r="BN383">
            <v>1</v>
          </cell>
          <cell r="BO383">
            <v>1</v>
          </cell>
          <cell r="BP383">
            <v>1</v>
          </cell>
          <cell r="BT383">
            <v>1</v>
          </cell>
          <cell r="BU383">
            <v>1</v>
          </cell>
          <cell r="BV383">
            <v>1</v>
          </cell>
          <cell r="BW383">
            <v>1</v>
          </cell>
          <cell r="BX383">
            <v>1</v>
          </cell>
          <cell r="BY383">
            <v>1</v>
          </cell>
          <cell r="BZ383">
            <v>1</v>
          </cell>
          <cell r="CA383">
            <v>1</v>
          </cell>
          <cell r="CB383">
            <v>1</v>
          </cell>
          <cell r="CC383">
            <v>1</v>
          </cell>
          <cell r="CD383">
            <v>1</v>
          </cell>
          <cell r="CE383">
            <v>1</v>
          </cell>
          <cell r="CF383">
            <v>1</v>
          </cell>
          <cell r="CG383">
            <v>1</v>
          </cell>
          <cell r="CH383">
            <v>1</v>
          </cell>
          <cell r="CI383">
            <v>1</v>
          </cell>
          <cell r="CJ383">
            <v>1</v>
          </cell>
          <cell r="CK383">
            <v>0.5</v>
          </cell>
          <cell r="CL383">
            <v>2</v>
          </cell>
          <cell r="CM383">
            <v>0.37517981773563941</v>
          </cell>
          <cell r="CN383">
            <v>235</v>
          </cell>
          <cell r="CO383">
            <v>10.681818181818182</v>
          </cell>
          <cell r="CP383">
            <v>495</v>
          </cell>
          <cell r="CQ383">
            <v>22.5</v>
          </cell>
          <cell r="CR383">
            <v>568.93687707641197</v>
          </cell>
          <cell r="CS383">
            <v>25.860767139836909</v>
          </cell>
          <cell r="CT383">
            <v>0</v>
          </cell>
          <cell r="CU383">
            <v>0</v>
          </cell>
          <cell r="CV383">
            <v>395</v>
          </cell>
          <cell r="CW383">
            <v>17.954545454545453</v>
          </cell>
          <cell r="CX383">
            <v>1693.936877076412</v>
          </cell>
          <cell r="CY383">
            <v>76.997130776200549</v>
          </cell>
          <cell r="CZ383">
            <v>0</v>
          </cell>
          <cell r="DA383">
            <v>0</v>
          </cell>
          <cell r="DB383">
            <v>1693.936877076412</v>
          </cell>
          <cell r="DC383">
            <v>76.997130776200549</v>
          </cell>
        </row>
        <row r="384">
          <cell r="A384">
            <v>38</v>
          </cell>
          <cell r="B384" t="str">
            <v>CO</v>
          </cell>
          <cell r="C384" t="str">
            <v>Z</v>
          </cell>
          <cell r="D384" t="str">
            <v>65751-YZC10</v>
          </cell>
          <cell r="E384" t="str">
            <v>PNL,TAIL GATE</v>
          </cell>
          <cell r="F384">
            <v>1</v>
          </cell>
          <cell r="H384">
            <v>1</v>
          </cell>
          <cell r="CK384">
            <v>1</v>
          </cell>
          <cell r="CL384">
            <v>4</v>
          </cell>
          <cell r="CM384">
            <v>0.15393133997785161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695</v>
          </cell>
          <cell r="DA384">
            <v>31.59090909090909</v>
          </cell>
          <cell r="DB384">
            <v>695</v>
          </cell>
          <cell r="DC384">
            <v>31.59090909090909</v>
          </cell>
        </row>
        <row r="385">
          <cell r="A385">
            <v>39</v>
          </cell>
          <cell r="B385" t="str">
            <v>CO</v>
          </cell>
          <cell r="C385" t="str">
            <v>Z</v>
          </cell>
          <cell r="D385" t="str">
            <v>67157-0B030</v>
          </cell>
          <cell r="E385" t="str">
            <v>EXTENSION, RR DOOR, INNER RH</v>
          </cell>
          <cell r="F385" t="str">
            <v/>
          </cell>
          <cell r="H385" t="str">
            <v/>
          </cell>
          <cell r="J385" t="str">
            <v/>
          </cell>
          <cell r="L385" t="str">
            <v/>
          </cell>
          <cell r="N385" t="str">
            <v/>
          </cell>
          <cell r="P385" t="str">
            <v/>
          </cell>
          <cell r="Q385">
            <v>1</v>
          </cell>
          <cell r="R385">
            <v>1</v>
          </cell>
          <cell r="T385" t="str">
            <v/>
          </cell>
          <cell r="U385">
            <v>1</v>
          </cell>
          <cell r="V385" t="str">
            <v/>
          </cell>
          <cell r="X385" t="str">
            <v/>
          </cell>
          <cell r="Z385" t="str">
            <v/>
          </cell>
          <cell r="AB385" t="str">
            <v/>
          </cell>
          <cell r="AC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 t="str">
            <v/>
          </cell>
          <cell r="AL385" t="str">
            <v/>
          </cell>
          <cell r="AN385" t="str">
            <v/>
          </cell>
          <cell r="AZ385">
            <v>1</v>
          </cell>
          <cell r="BA385">
            <v>1</v>
          </cell>
          <cell r="BB385">
            <v>1</v>
          </cell>
          <cell r="BC385">
            <v>1</v>
          </cell>
          <cell r="CK385">
            <v>0.5</v>
          </cell>
          <cell r="CL385">
            <v>4</v>
          </cell>
          <cell r="CM385">
            <v>0.10963455149501661</v>
          </cell>
          <cell r="CN385">
            <v>0</v>
          </cell>
          <cell r="CO385">
            <v>0</v>
          </cell>
          <cell r="CP385">
            <v>495</v>
          </cell>
          <cell r="CQ385">
            <v>22.5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495</v>
          </cell>
          <cell r="CY385">
            <v>22.5</v>
          </cell>
          <cell r="CZ385">
            <v>0</v>
          </cell>
          <cell r="DA385">
            <v>0</v>
          </cell>
          <cell r="DB385">
            <v>495</v>
          </cell>
          <cell r="DC385">
            <v>22.5</v>
          </cell>
        </row>
        <row r="386">
          <cell r="A386">
            <v>40</v>
          </cell>
          <cell r="B386" t="str">
            <v>CO</v>
          </cell>
          <cell r="C386" t="str">
            <v>Z</v>
          </cell>
          <cell r="D386" t="str">
            <v>67158-0B030</v>
          </cell>
          <cell r="E386" t="str">
            <v>EXTENSION, RR DOOR, INNER LH</v>
          </cell>
          <cell r="F386" t="str">
            <v/>
          </cell>
          <cell r="H386" t="str">
            <v/>
          </cell>
          <cell r="J386" t="str">
            <v/>
          </cell>
          <cell r="L386" t="str">
            <v/>
          </cell>
          <cell r="N386" t="str">
            <v/>
          </cell>
          <cell r="P386" t="str">
            <v/>
          </cell>
          <cell r="Q386">
            <v>1</v>
          </cell>
          <cell r="R386">
            <v>1</v>
          </cell>
          <cell r="T386" t="str">
            <v/>
          </cell>
          <cell r="U386">
            <v>1</v>
          </cell>
          <cell r="V386" t="str">
            <v/>
          </cell>
          <cell r="X386" t="str">
            <v/>
          </cell>
          <cell r="Z386" t="str">
            <v/>
          </cell>
          <cell r="AB386" t="str">
            <v/>
          </cell>
          <cell r="AC386">
            <v>1</v>
          </cell>
          <cell r="AF386">
            <v>1</v>
          </cell>
          <cell r="AG386">
            <v>1</v>
          </cell>
          <cell r="AH386">
            <v>1</v>
          </cell>
          <cell r="AI386">
            <v>1</v>
          </cell>
          <cell r="AJ386" t="str">
            <v/>
          </cell>
          <cell r="AL386" t="str">
            <v/>
          </cell>
          <cell r="AN386" t="str">
            <v/>
          </cell>
          <cell r="AZ386">
            <v>1</v>
          </cell>
          <cell r="BA386">
            <v>1</v>
          </cell>
          <cell r="BB386">
            <v>1</v>
          </cell>
          <cell r="BC386">
            <v>1</v>
          </cell>
          <cell r="CK386">
            <v>0.5</v>
          </cell>
          <cell r="CM386">
            <v>0.10963455149501661</v>
          </cell>
          <cell r="CN386">
            <v>0</v>
          </cell>
          <cell r="CO386">
            <v>0</v>
          </cell>
          <cell r="CP386">
            <v>495</v>
          </cell>
          <cell r="CQ386">
            <v>22.5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495</v>
          </cell>
          <cell r="CY386">
            <v>22.5</v>
          </cell>
          <cell r="CZ386">
            <v>0</v>
          </cell>
          <cell r="DA386">
            <v>0</v>
          </cell>
          <cell r="DB386">
            <v>495</v>
          </cell>
          <cell r="DC386">
            <v>22.5</v>
          </cell>
        </row>
        <row r="387">
          <cell r="B387" t="str">
            <v>Z</v>
          </cell>
          <cell r="C387" t="str">
            <v>A-Z</v>
          </cell>
          <cell r="D387" t="str">
            <v>52111-0B010</v>
          </cell>
          <cell r="E387" t="str">
            <v>BAR, FR BUMPER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CL387">
            <v>4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</row>
        <row r="388">
          <cell r="B388" t="str">
            <v>Z</v>
          </cell>
          <cell r="C388" t="str">
            <v>Z</v>
          </cell>
          <cell r="D388" t="str">
            <v>53711-0B030</v>
          </cell>
          <cell r="E388" t="str">
            <v xml:space="preserve">APRON, FR FENDER RH 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Y388" t="str">
            <v>*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 t="str">
            <v>*</v>
          </cell>
          <cell r="BS388" t="str">
            <v>*</v>
          </cell>
          <cell r="CL388">
            <v>1.5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</row>
        <row r="389">
          <cell r="B389" t="str">
            <v>Z</v>
          </cell>
          <cell r="C389" t="str">
            <v>Z</v>
          </cell>
          <cell r="D389" t="str">
            <v>53711-0B070</v>
          </cell>
          <cell r="E389" t="str">
            <v xml:space="preserve">APRON, FR FENDER, RH 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U389">
            <v>0</v>
          </cell>
          <cell r="AV389">
            <v>0</v>
          </cell>
          <cell r="CL389">
            <v>1.5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</row>
        <row r="390">
          <cell r="B390" t="str">
            <v>Z</v>
          </cell>
          <cell r="C390" t="str">
            <v>Z</v>
          </cell>
          <cell r="D390" t="str">
            <v>53712-0B070</v>
          </cell>
          <cell r="E390" t="str">
            <v>APRON, FR FENDER, LH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U390">
            <v>0</v>
          </cell>
          <cell r="AV390">
            <v>0</v>
          </cell>
          <cell r="CL390">
            <v>1.5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</row>
        <row r="391">
          <cell r="B391" t="str">
            <v>Z</v>
          </cell>
          <cell r="C391" t="str">
            <v>Z</v>
          </cell>
          <cell r="D391" t="str">
            <v>55314-0B010</v>
          </cell>
          <cell r="E391" t="str">
            <v>PANEL, INSTRUMENT, LWR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CL391">
            <v>4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</row>
        <row r="392">
          <cell r="B392" t="str">
            <v>Z</v>
          </cell>
          <cell r="C392" t="str">
            <v>Z</v>
          </cell>
          <cell r="D392" t="str">
            <v>55317-0B010</v>
          </cell>
          <cell r="E392" t="str">
            <v>PANEL, INSTRUMENT SIDE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</row>
        <row r="393">
          <cell r="B393" t="str">
            <v>Z</v>
          </cell>
          <cell r="C393" t="str">
            <v>Z</v>
          </cell>
          <cell r="D393" t="str">
            <v>61731-0B010</v>
          </cell>
          <cell r="E393" t="str">
            <v>PANEL, ROOF SIDE, INNER RH (SHORT)</v>
          </cell>
          <cell r="J393">
            <v>1</v>
          </cell>
          <cell r="K393">
            <v>1</v>
          </cell>
          <cell r="L393">
            <v>1</v>
          </cell>
          <cell r="M393">
            <v>1</v>
          </cell>
          <cell r="N393">
            <v>1</v>
          </cell>
          <cell r="Z393">
            <v>1</v>
          </cell>
          <cell r="AA393">
            <v>1</v>
          </cell>
          <cell r="AD393">
            <v>1</v>
          </cell>
          <cell r="AE393">
            <v>1</v>
          </cell>
          <cell r="CL393">
            <v>4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</row>
        <row r="394">
          <cell r="B394" t="str">
            <v>Z</v>
          </cell>
          <cell r="C394" t="str">
            <v>Z</v>
          </cell>
          <cell r="D394" t="str">
            <v>61731-0B030</v>
          </cell>
          <cell r="E394" t="str">
            <v>PNL ROOF SIDE INN RH</v>
          </cell>
          <cell r="P394">
            <v>1</v>
          </cell>
          <cell r="Q394">
            <v>1</v>
          </cell>
          <cell r="R394">
            <v>1</v>
          </cell>
          <cell r="T394">
            <v>1</v>
          </cell>
          <cell r="U394">
            <v>1</v>
          </cell>
          <cell r="AC394">
            <v>1</v>
          </cell>
          <cell r="AF394">
            <v>1</v>
          </cell>
          <cell r="AG394">
            <v>1</v>
          </cell>
          <cell r="AH394">
            <v>1</v>
          </cell>
          <cell r="AI394">
            <v>1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CL394">
            <v>4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</row>
        <row r="395">
          <cell r="B395" t="str">
            <v>Z</v>
          </cell>
          <cell r="C395" t="str">
            <v>Z</v>
          </cell>
          <cell r="D395" t="str">
            <v>61732-0B010</v>
          </cell>
          <cell r="E395" t="str">
            <v>PANEL, ROOF SIDE, INNER LH (SHORT)</v>
          </cell>
          <cell r="J395">
            <v>1</v>
          </cell>
          <cell r="K395">
            <v>1</v>
          </cell>
          <cell r="L395">
            <v>1</v>
          </cell>
          <cell r="M395">
            <v>1</v>
          </cell>
          <cell r="N395">
            <v>1</v>
          </cell>
          <cell r="Z395">
            <v>1</v>
          </cell>
          <cell r="AA395">
            <v>1</v>
          </cell>
          <cell r="AD395">
            <v>1</v>
          </cell>
          <cell r="AE395">
            <v>1</v>
          </cell>
          <cell r="CL395">
            <v>4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</row>
        <row r="396">
          <cell r="B396" t="str">
            <v>Z</v>
          </cell>
          <cell r="C396" t="str">
            <v>Z</v>
          </cell>
          <cell r="D396" t="str">
            <v>67157-0B010</v>
          </cell>
          <cell r="E396" t="str">
            <v>EXTENSION, RR DOOR, INNER RH</v>
          </cell>
          <cell r="O396">
            <v>1</v>
          </cell>
          <cell r="P396">
            <v>1</v>
          </cell>
          <cell r="Q396">
            <v>0</v>
          </cell>
          <cell r="R396">
            <v>0</v>
          </cell>
          <cell r="S396">
            <v>1</v>
          </cell>
          <cell r="T396">
            <v>1</v>
          </cell>
          <cell r="U396">
            <v>0</v>
          </cell>
          <cell r="AB396">
            <v>1</v>
          </cell>
          <cell r="AC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Y396" t="str">
            <v>*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 t="str">
            <v>*</v>
          </cell>
          <cell r="BS396" t="str">
            <v>*</v>
          </cell>
          <cell r="CL396">
            <v>4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</row>
        <row r="397">
          <cell r="B397" t="str">
            <v>Z</v>
          </cell>
          <cell r="C397" t="str">
            <v>Z</v>
          </cell>
          <cell r="D397" t="str">
            <v>67158-0B010</v>
          </cell>
          <cell r="E397" t="str">
            <v>EXTENSION, RR DOOR, INNER LH</v>
          </cell>
          <cell r="O397">
            <v>1</v>
          </cell>
          <cell r="P397">
            <v>1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0</v>
          </cell>
          <cell r="AB397">
            <v>1</v>
          </cell>
          <cell r="AC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Y397" t="str">
            <v>*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 t="str">
            <v>*</v>
          </cell>
          <cell r="BS397" t="str">
            <v>*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</row>
        <row r="399">
          <cell r="CK399">
            <v>21</v>
          </cell>
          <cell r="CM399">
            <v>6.2779273959448565</v>
          </cell>
        </row>
        <row r="400">
          <cell r="D400" t="str">
            <v>LOADING  Z =</v>
          </cell>
          <cell r="F400" t="str">
            <v>DOM =</v>
          </cell>
          <cell r="G400">
            <v>0.59766584766584774</v>
          </cell>
          <cell r="H400" t="str">
            <v>PHIL =</v>
          </cell>
          <cell r="I400">
            <v>0.46191646191646196</v>
          </cell>
          <cell r="J400" t="str">
            <v>MAL =</v>
          </cell>
          <cell r="K400">
            <v>1.4594594594594597</v>
          </cell>
          <cell r="L400" t="str">
            <v>TAI=</v>
          </cell>
          <cell r="M400">
            <v>0.46926808264017561</v>
          </cell>
          <cell r="N400" t="str">
            <v>VIET=</v>
          </cell>
          <cell r="O400">
            <v>7.3710073710073723E-2</v>
          </cell>
          <cell r="CK400" t="str">
            <v>SA =</v>
          </cell>
          <cell r="CL400">
            <v>0.42014742014742018</v>
          </cell>
        </row>
        <row r="401">
          <cell r="D401" t="str">
            <v>TOT.  LOADING  Z =</v>
          </cell>
          <cell r="F401">
            <v>5.031921645293739</v>
          </cell>
          <cell r="H401" t="str">
            <v>HOURS</v>
          </cell>
          <cell r="L401" t="str">
            <v>BY=</v>
          </cell>
          <cell r="M401">
            <v>1.5497542997543001</v>
          </cell>
        </row>
        <row r="404">
          <cell r="A404" t="str">
            <v>Line</v>
          </cell>
          <cell r="C404" t="str">
            <v>GSPH</v>
          </cell>
          <cell r="D404" t="str">
            <v>GSPH TARGET</v>
          </cell>
          <cell r="E404" t="str">
            <v>GSPH January 2003</v>
          </cell>
          <cell r="DC404" t="str">
            <v>LINE</v>
          </cell>
        </row>
        <row r="405">
          <cell r="A405" t="str">
            <v>A</v>
          </cell>
          <cell r="C405">
            <v>129</v>
          </cell>
          <cell r="D405">
            <v>129</v>
          </cell>
          <cell r="E405">
            <v>110</v>
          </cell>
          <cell r="DC405" t="str">
            <v>A</v>
          </cell>
        </row>
        <row r="406">
          <cell r="A406" t="str">
            <v>AA</v>
          </cell>
          <cell r="C406">
            <v>380</v>
          </cell>
          <cell r="D406">
            <v>380</v>
          </cell>
          <cell r="E406">
            <v>310</v>
          </cell>
          <cell r="DC406" t="str">
            <v>AA</v>
          </cell>
        </row>
        <row r="407">
          <cell r="A407" t="str">
            <v>B</v>
          </cell>
          <cell r="C407">
            <v>375</v>
          </cell>
          <cell r="D407">
            <v>375</v>
          </cell>
          <cell r="E407">
            <v>356</v>
          </cell>
          <cell r="DC407" t="str">
            <v>B</v>
          </cell>
        </row>
        <row r="408">
          <cell r="A408" t="str">
            <v>B4</v>
          </cell>
          <cell r="C408">
            <v>239</v>
          </cell>
          <cell r="D408">
            <v>239</v>
          </cell>
          <cell r="E408">
            <v>247</v>
          </cell>
          <cell r="DC408" t="str">
            <v>B4</v>
          </cell>
        </row>
        <row r="409">
          <cell r="A409" t="str">
            <v>C</v>
          </cell>
          <cell r="C409">
            <v>357</v>
          </cell>
          <cell r="D409">
            <v>357</v>
          </cell>
          <cell r="E409">
            <v>407</v>
          </cell>
          <cell r="DC409" t="str">
            <v>C</v>
          </cell>
        </row>
        <row r="410">
          <cell r="A410" t="str">
            <v>C1</v>
          </cell>
          <cell r="C410">
            <v>344</v>
          </cell>
          <cell r="D410">
            <v>344</v>
          </cell>
          <cell r="E410">
            <v>406</v>
          </cell>
          <cell r="DC410" t="str">
            <v>C1</v>
          </cell>
        </row>
        <row r="411">
          <cell r="A411" t="str">
            <v>E</v>
          </cell>
          <cell r="C411">
            <v>402</v>
          </cell>
          <cell r="D411">
            <v>402</v>
          </cell>
          <cell r="E411">
            <v>456</v>
          </cell>
          <cell r="DC411" t="str">
            <v>E</v>
          </cell>
        </row>
        <row r="412">
          <cell r="A412" t="str">
            <v>H</v>
          </cell>
          <cell r="C412">
            <v>260</v>
          </cell>
          <cell r="D412">
            <v>260</v>
          </cell>
          <cell r="E412">
            <v>262</v>
          </cell>
          <cell r="DC412" t="str">
            <v>H</v>
          </cell>
        </row>
        <row r="413">
          <cell r="A413" t="str">
            <v>I</v>
          </cell>
          <cell r="C413">
            <v>400</v>
          </cell>
          <cell r="D413">
            <v>400</v>
          </cell>
          <cell r="E413">
            <v>373</v>
          </cell>
          <cell r="DC413" t="str">
            <v>I</v>
          </cell>
        </row>
        <row r="414">
          <cell r="A414" t="str">
            <v>Z</v>
          </cell>
          <cell r="C414">
            <v>370</v>
          </cell>
          <cell r="D414">
            <v>370</v>
          </cell>
          <cell r="E414">
            <v>356</v>
          </cell>
          <cell r="DC414" t="str">
            <v>Z</v>
          </cell>
        </row>
        <row r="416">
          <cell r="A416" t="str">
            <v>November 2000</v>
          </cell>
        </row>
        <row r="417">
          <cell r="A417" t="str">
            <v>L ACT.</v>
          </cell>
          <cell r="B417" t="str">
            <v>Line</v>
          </cell>
          <cell r="C417" t="str">
            <v>Dec. 2001</v>
          </cell>
          <cell r="D417" t="str">
            <v>Jan 2003</v>
          </cell>
          <cell r="E417" t="str">
            <v>Feb 2002</v>
          </cell>
          <cell r="F417" t="str">
            <v>Mar</v>
          </cell>
          <cell r="G417" t="str">
            <v>Apr</v>
          </cell>
          <cell r="H417" t="str">
            <v>May</v>
          </cell>
          <cell r="I417" t="str">
            <v>Jun</v>
          </cell>
          <cell r="J417" t="str">
            <v>Jul</v>
          </cell>
          <cell r="K417" t="str">
            <v>Aug</v>
          </cell>
          <cell r="L417" t="str">
            <v>Sep</v>
          </cell>
          <cell r="M417" t="str">
            <v>Oct</v>
          </cell>
          <cell r="N417" t="str">
            <v>Nov</v>
          </cell>
          <cell r="O417" t="str">
            <v>Dec</v>
          </cell>
        </row>
        <row r="418">
          <cell r="A418">
            <v>128</v>
          </cell>
          <cell r="B418" t="str">
            <v>A</v>
          </cell>
          <cell r="C418">
            <v>147</v>
          </cell>
          <cell r="D418">
            <v>129</v>
          </cell>
          <cell r="E418">
            <v>112</v>
          </cell>
          <cell r="F418">
            <v>108</v>
          </cell>
        </row>
        <row r="419">
          <cell r="A419">
            <v>306</v>
          </cell>
          <cell r="B419" t="str">
            <v>AA</v>
          </cell>
          <cell r="C419">
            <v>336</v>
          </cell>
          <cell r="D419">
            <v>348</v>
          </cell>
          <cell r="E419">
            <v>326</v>
          </cell>
          <cell r="F419">
            <v>329</v>
          </cell>
        </row>
        <row r="420">
          <cell r="A420">
            <v>380</v>
          </cell>
          <cell r="B420" t="str">
            <v>B</v>
          </cell>
          <cell r="C420">
            <v>326</v>
          </cell>
          <cell r="D420">
            <v>379</v>
          </cell>
          <cell r="E420">
            <v>356</v>
          </cell>
          <cell r="F420">
            <v>348</v>
          </cell>
        </row>
        <row r="421">
          <cell r="A421">
            <v>227</v>
          </cell>
          <cell r="B421" t="str">
            <v>B4</v>
          </cell>
          <cell r="C421">
            <v>229</v>
          </cell>
          <cell r="D421">
            <v>275</v>
          </cell>
          <cell r="E421">
            <v>262</v>
          </cell>
          <cell r="F421">
            <v>273</v>
          </cell>
        </row>
        <row r="422">
          <cell r="A422">
            <v>356</v>
          </cell>
          <cell r="B422" t="str">
            <v>C</v>
          </cell>
          <cell r="C422">
            <v>337</v>
          </cell>
          <cell r="D422">
            <v>343</v>
          </cell>
          <cell r="E422">
            <v>336</v>
          </cell>
          <cell r="F422">
            <v>346</v>
          </cell>
        </row>
        <row r="423">
          <cell r="A423">
            <v>363</v>
          </cell>
          <cell r="B423" t="str">
            <v>C1</v>
          </cell>
          <cell r="C423">
            <v>357</v>
          </cell>
          <cell r="D423">
            <v>374</v>
          </cell>
          <cell r="E423">
            <v>393</v>
          </cell>
          <cell r="F423">
            <v>383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"/>
      <sheetName val="Achiev"/>
      <sheetName val="Load3bln"/>
      <sheetName val="P3BLN"/>
      <sheetName val="FINANCE2000"/>
      <sheetName val="CATATAN"/>
      <sheetName val="PLAN"/>
      <sheetName val="LHINO"/>
      <sheetName val="C908T"/>
      <sheetName val="LoadOH"/>
      <sheetName val="GRAPH"/>
      <sheetName val="NEW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F1" t="str">
            <v>Localization Taiwan sudah dirubah tgl 10-09-1999</v>
          </cell>
          <cell r="AI1" t="str">
            <v>KF EXPORT FHILIPPINES</v>
          </cell>
          <cell r="AW1" t="str">
            <v>KF EXP. MALAYSIA</v>
          </cell>
          <cell r="BB1" t="str">
            <v>KF EXP. TAIWAN</v>
          </cell>
        </row>
        <row r="2">
          <cell r="A2" t="str">
            <v>PT. TOYOTA ASTRA MOTOR</v>
          </cell>
          <cell r="E2">
            <v>1</v>
          </cell>
          <cell r="AJ2" t="str">
            <v>KF 825 T</v>
          </cell>
          <cell r="AX2" t="str">
            <v>KF 830 T</v>
          </cell>
          <cell r="BD2" t="str">
            <v>KF 830 T</v>
          </cell>
          <cell r="BQ2">
            <v>1</v>
          </cell>
          <cell r="BR2">
            <v>2</v>
          </cell>
          <cell r="BS2">
            <v>3</v>
          </cell>
          <cell r="BT2">
            <v>4</v>
          </cell>
          <cell r="BU2">
            <v>5</v>
          </cell>
          <cell r="BV2">
            <v>6</v>
          </cell>
          <cell r="BW2">
            <v>7</v>
          </cell>
          <cell r="BX2">
            <v>8</v>
          </cell>
          <cell r="BY2">
            <v>9</v>
          </cell>
          <cell r="BZ2">
            <v>10</v>
          </cell>
          <cell r="CA2">
            <v>11</v>
          </cell>
          <cell r="CB2">
            <v>12</v>
          </cell>
          <cell r="CC2">
            <v>13</v>
          </cell>
          <cell r="CD2">
            <v>14</v>
          </cell>
          <cell r="CE2">
            <v>15</v>
          </cell>
          <cell r="CF2">
            <v>16</v>
          </cell>
          <cell r="CG2">
            <v>17</v>
          </cell>
          <cell r="EK2" t="str">
            <v>KF 825 T</v>
          </cell>
          <cell r="ER2" t="str">
            <v>KF 830 T</v>
          </cell>
          <cell r="EX2" t="str">
            <v>KF 830 T</v>
          </cell>
        </row>
        <row r="3">
          <cell r="A3" t="str">
            <v>STAMPING PLANT</v>
          </cell>
          <cell r="E3" t="str">
            <v>AF</v>
          </cell>
          <cell r="F3" t="str">
            <v>AE</v>
          </cell>
          <cell r="G3" t="str">
            <v>AH</v>
          </cell>
          <cell r="H3" t="str">
            <v>AG</v>
          </cell>
          <cell r="I3" t="str">
            <v>AI</v>
          </cell>
          <cell r="J3" t="str">
            <v>AK</v>
          </cell>
          <cell r="K3" t="str">
            <v>AM</v>
          </cell>
          <cell r="L3" t="str">
            <v>AO</v>
          </cell>
          <cell r="M3" t="str">
            <v>AQ</v>
          </cell>
          <cell r="N3" t="str">
            <v>AR</v>
          </cell>
          <cell r="O3" t="str">
            <v>AT</v>
          </cell>
          <cell r="P3" t="str">
            <v>AU</v>
          </cell>
          <cell r="Q3" t="str">
            <v>AW</v>
          </cell>
          <cell r="R3" t="str">
            <v>AX</v>
          </cell>
          <cell r="S3" t="str">
            <v>AZ</v>
          </cell>
          <cell r="T3" t="str">
            <v>AA</v>
          </cell>
          <cell r="U3" t="str">
            <v>AJ</v>
          </cell>
          <cell r="V3" t="str">
            <v>AP</v>
          </cell>
          <cell r="W3" t="str">
            <v>AS</v>
          </cell>
          <cell r="X3" t="str">
            <v>AY</v>
          </cell>
          <cell r="Y3" t="str">
            <v>AL</v>
          </cell>
          <cell r="Z3" t="str">
            <v>AN</v>
          </cell>
          <cell r="AA3" t="str">
            <v>AV</v>
          </cell>
          <cell r="AB3" t="str">
            <v>AB</v>
          </cell>
          <cell r="AC3" t="str">
            <v>QR</v>
          </cell>
          <cell r="AD3" t="str">
            <v>QT</v>
          </cell>
          <cell r="AE3" t="str">
            <v>QU</v>
          </cell>
          <cell r="AF3" t="str">
            <v>QV</v>
          </cell>
          <cell r="AG3" t="str">
            <v>QW</v>
          </cell>
          <cell r="AI3" t="str">
            <v>CP</v>
          </cell>
          <cell r="AJ3" t="str">
            <v>CQ</v>
          </cell>
          <cell r="AK3" t="str">
            <v>CR</v>
          </cell>
          <cell r="AL3" t="str">
            <v>CS</v>
          </cell>
          <cell r="AM3" t="str">
            <v>CT</v>
          </cell>
          <cell r="AN3" t="str">
            <v>CU</v>
          </cell>
          <cell r="AO3" t="str">
            <v>CV</v>
          </cell>
          <cell r="AP3" t="str">
            <v>4Q</v>
          </cell>
          <cell r="AQ3" t="str">
            <v>4T</v>
          </cell>
          <cell r="AR3">
            <v>45</v>
          </cell>
          <cell r="AS3">
            <v>46</v>
          </cell>
          <cell r="AT3">
            <v>48</v>
          </cell>
          <cell r="AU3">
            <v>49</v>
          </cell>
          <cell r="AW3" t="str">
            <v>QF</v>
          </cell>
          <cell r="AX3" t="str">
            <v>QG</v>
          </cell>
          <cell r="AY3" t="str">
            <v>QH</v>
          </cell>
          <cell r="AZ3" t="str">
            <v>QI</v>
          </cell>
          <cell r="BB3" t="str">
            <v>TA</v>
          </cell>
          <cell r="BC3" t="str">
            <v>TL</v>
          </cell>
          <cell r="BD3" t="str">
            <v>TE</v>
          </cell>
          <cell r="BE3" t="str">
            <v>TG</v>
          </cell>
          <cell r="BF3" t="str">
            <v>TJ</v>
          </cell>
          <cell r="BG3" t="str">
            <v>TK</v>
          </cell>
          <cell r="BL3" t="str">
            <v>01</v>
          </cell>
          <cell r="BM3" t="str">
            <v>02</v>
          </cell>
          <cell r="BN3" t="str">
            <v>QA</v>
          </cell>
          <cell r="BO3" t="str">
            <v>AB</v>
          </cell>
          <cell r="BQ3" t="str">
            <v>CA</v>
          </cell>
          <cell r="BR3" t="str">
            <v>CB</v>
          </cell>
          <cell r="BS3" t="str">
            <v>CC</v>
          </cell>
          <cell r="BT3" t="str">
            <v>F2</v>
          </cell>
          <cell r="BU3" t="str">
            <v>CD</v>
          </cell>
          <cell r="BV3" t="str">
            <v>F3</v>
          </cell>
          <cell r="BW3" t="str">
            <v>CE</v>
          </cell>
          <cell r="BX3" t="str">
            <v>F4</v>
          </cell>
          <cell r="BY3" t="str">
            <v>CF</v>
          </cell>
          <cell r="BZ3" t="str">
            <v>F5</v>
          </cell>
          <cell r="CA3" t="str">
            <v>CG</v>
          </cell>
          <cell r="CB3" t="str">
            <v>F6</v>
          </cell>
          <cell r="CC3" t="str">
            <v>CH</v>
          </cell>
          <cell r="CD3" t="str">
            <v>CJ</v>
          </cell>
          <cell r="CE3" t="str">
            <v>CK</v>
          </cell>
          <cell r="CF3" t="str">
            <v>CL</v>
          </cell>
          <cell r="CG3" t="str">
            <v>CM</v>
          </cell>
          <cell r="DK3" t="str">
            <v>AF</v>
          </cell>
          <cell r="DL3" t="str">
            <v>AE</v>
          </cell>
          <cell r="DM3" t="str">
            <v>AH</v>
          </cell>
          <cell r="DN3" t="str">
            <v>AG</v>
          </cell>
          <cell r="DO3" t="str">
            <v>AI</v>
          </cell>
          <cell r="DP3" t="str">
            <v>AK</v>
          </cell>
          <cell r="DQ3" t="str">
            <v>AM</v>
          </cell>
          <cell r="DR3" t="str">
            <v>AO</v>
          </cell>
          <cell r="DS3" t="str">
            <v>AQ</v>
          </cell>
          <cell r="DT3" t="str">
            <v>AR</v>
          </cell>
          <cell r="DU3" t="str">
            <v>AT</v>
          </cell>
          <cell r="DV3" t="str">
            <v>AU</v>
          </cell>
          <cell r="DW3" t="str">
            <v>AW</v>
          </cell>
          <cell r="DX3" t="str">
            <v>AX</v>
          </cell>
          <cell r="DY3" t="str">
            <v>AZ</v>
          </cell>
          <cell r="DZ3" t="str">
            <v>AA</v>
          </cell>
          <cell r="EA3" t="str">
            <v>AJ</v>
          </cell>
          <cell r="EB3" t="str">
            <v>AP</v>
          </cell>
          <cell r="EC3" t="str">
            <v>AS</v>
          </cell>
          <cell r="ED3" t="str">
            <v>AY</v>
          </cell>
          <cell r="EE3" t="str">
            <v>AL</v>
          </cell>
          <cell r="EF3" t="str">
            <v>AN</v>
          </cell>
          <cell r="EG3" t="str">
            <v>AV</v>
          </cell>
          <cell r="EH3" t="str">
            <v>AB</v>
          </cell>
          <cell r="EJ3" t="str">
            <v>CP</v>
          </cell>
          <cell r="EK3" t="str">
            <v>CQ</v>
          </cell>
          <cell r="EL3" t="str">
            <v>CR</v>
          </cell>
          <cell r="EM3" t="str">
            <v>CS</v>
          </cell>
          <cell r="EN3" t="str">
            <v>CT</v>
          </cell>
          <cell r="EO3" t="str">
            <v>CU</v>
          </cell>
          <cell r="EQ3" t="str">
            <v>QF</v>
          </cell>
          <cell r="ER3" t="str">
            <v>QG</v>
          </cell>
          <cell r="ES3" t="str">
            <v>QH</v>
          </cell>
          <cell r="ET3" t="str">
            <v>QI</v>
          </cell>
          <cell r="EV3" t="str">
            <v>TA</v>
          </cell>
          <cell r="EW3" t="str">
            <v>TL</v>
          </cell>
          <cell r="EX3" t="str">
            <v>TE</v>
          </cell>
          <cell r="EY3" t="str">
            <v>TG</v>
          </cell>
          <cell r="EZ3" t="str">
            <v>TJ</v>
          </cell>
          <cell r="FA3" t="str">
            <v>TK</v>
          </cell>
        </row>
        <row r="4">
          <cell r="E4" t="str">
            <v>KF</v>
          </cell>
          <cell r="F4" t="str">
            <v>KF</v>
          </cell>
          <cell r="G4" t="str">
            <v>LF</v>
          </cell>
          <cell r="H4" t="str">
            <v>LF</v>
          </cell>
          <cell r="I4" t="str">
            <v>KF</v>
          </cell>
          <cell r="J4" t="str">
            <v>KF</v>
          </cell>
          <cell r="K4" t="str">
            <v>KF</v>
          </cell>
          <cell r="L4" t="str">
            <v>KF</v>
          </cell>
          <cell r="M4" t="str">
            <v>LF</v>
          </cell>
          <cell r="N4" t="str">
            <v>KF</v>
          </cell>
          <cell r="O4" t="str">
            <v>KF</v>
          </cell>
          <cell r="P4" t="str">
            <v>KF</v>
          </cell>
          <cell r="Q4" t="str">
            <v>KF</v>
          </cell>
          <cell r="R4" t="str">
            <v>LF</v>
          </cell>
          <cell r="S4" t="str">
            <v>LF</v>
          </cell>
          <cell r="T4" t="str">
            <v>LF</v>
          </cell>
          <cell r="U4" t="str">
            <v>KF</v>
          </cell>
          <cell r="V4" t="str">
            <v>LF</v>
          </cell>
          <cell r="W4" t="str">
            <v>KF</v>
          </cell>
          <cell r="X4" t="str">
            <v>LF</v>
          </cell>
          <cell r="Y4" t="str">
            <v>KF</v>
          </cell>
          <cell r="Z4" t="str">
            <v>KF</v>
          </cell>
          <cell r="AA4" t="str">
            <v>KF</v>
          </cell>
          <cell r="AB4" t="str">
            <v>LF</v>
          </cell>
          <cell r="AC4" t="str">
            <v>RZF</v>
          </cell>
          <cell r="AD4" t="str">
            <v>RZF</v>
          </cell>
          <cell r="AE4" t="str">
            <v>RZF</v>
          </cell>
          <cell r="AF4" t="str">
            <v>RZF</v>
          </cell>
          <cell r="AG4" t="str">
            <v>RZF</v>
          </cell>
          <cell r="AI4" t="str">
            <v>KF</v>
          </cell>
          <cell r="AJ4" t="str">
            <v>KF</v>
          </cell>
          <cell r="AK4" t="str">
            <v>KF</v>
          </cell>
          <cell r="AL4" t="str">
            <v>KF</v>
          </cell>
          <cell r="AM4" t="str">
            <v>LF</v>
          </cell>
          <cell r="AN4" t="str">
            <v>LF</v>
          </cell>
          <cell r="AO4" t="str">
            <v>LF</v>
          </cell>
          <cell r="AP4" t="str">
            <v>RZF</v>
          </cell>
          <cell r="AQ4" t="str">
            <v>RZF</v>
          </cell>
          <cell r="AR4" t="str">
            <v>KF</v>
          </cell>
          <cell r="AS4" t="str">
            <v>KF</v>
          </cell>
          <cell r="AT4" t="str">
            <v>RZF</v>
          </cell>
          <cell r="AU4" t="str">
            <v>RZF</v>
          </cell>
          <cell r="AW4" t="str">
            <v>KF</v>
          </cell>
          <cell r="AX4" t="str">
            <v>KF</v>
          </cell>
          <cell r="AY4" t="str">
            <v>KF</v>
          </cell>
          <cell r="AZ4" t="str">
            <v>LF</v>
          </cell>
          <cell r="BB4" t="str">
            <v>KF</v>
          </cell>
          <cell r="BC4" t="str">
            <v>KF</v>
          </cell>
          <cell r="BD4" t="str">
            <v>KF</v>
          </cell>
          <cell r="BE4" t="str">
            <v>KF</v>
          </cell>
          <cell r="BF4" t="str">
            <v>KF</v>
          </cell>
          <cell r="BG4" t="str">
            <v>KF</v>
          </cell>
          <cell r="BH4" t="str">
            <v>RZF</v>
          </cell>
          <cell r="BI4" t="str">
            <v>RZF</v>
          </cell>
          <cell r="BJ4" t="str">
            <v>RZF</v>
          </cell>
          <cell r="BK4" t="str">
            <v>RZF</v>
          </cell>
          <cell r="BL4" t="str">
            <v>KF</v>
          </cell>
          <cell r="BM4" t="str">
            <v>KF</v>
          </cell>
          <cell r="BN4" t="str">
            <v>KF</v>
          </cell>
          <cell r="BO4" t="str">
            <v>KF</v>
          </cell>
          <cell r="BQ4" t="str">
            <v>YF</v>
          </cell>
          <cell r="BR4" t="str">
            <v>YF</v>
          </cell>
          <cell r="BS4" t="str">
            <v>RZF</v>
          </cell>
          <cell r="BT4" t="str">
            <v>RZF</v>
          </cell>
          <cell r="BU4" t="str">
            <v>RZF</v>
          </cell>
          <cell r="BV4" t="str">
            <v>RZF</v>
          </cell>
          <cell r="BW4" t="str">
            <v>RZF</v>
          </cell>
          <cell r="BX4" t="str">
            <v>RZF</v>
          </cell>
          <cell r="BY4" t="str">
            <v>LF</v>
          </cell>
          <cell r="BZ4" t="str">
            <v>LF</v>
          </cell>
          <cell r="CA4" t="str">
            <v>LF</v>
          </cell>
          <cell r="CB4" t="str">
            <v>LF</v>
          </cell>
          <cell r="CC4" t="str">
            <v>YF</v>
          </cell>
          <cell r="CD4" t="str">
            <v>YF</v>
          </cell>
          <cell r="CE4" t="str">
            <v>LF</v>
          </cell>
          <cell r="CF4" t="str">
            <v>LF</v>
          </cell>
          <cell r="CG4" t="str">
            <v>LF</v>
          </cell>
          <cell r="CX4" t="str">
            <v>LOADING ESTIMATE</v>
          </cell>
          <cell r="DK4" t="str">
            <v>KF</v>
          </cell>
          <cell r="DL4" t="str">
            <v>KF</v>
          </cell>
          <cell r="DM4" t="str">
            <v>LF</v>
          </cell>
          <cell r="DN4" t="str">
            <v>LF</v>
          </cell>
          <cell r="DO4" t="str">
            <v>KF</v>
          </cell>
          <cell r="DP4" t="str">
            <v>KF</v>
          </cell>
          <cell r="DQ4" t="str">
            <v>KF</v>
          </cell>
          <cell r="DR4" t="str">
            <v>KF</v>
          </cell>
          <cell r="DS4" t="str">
            <v>LF</v>
          </cell>
          <cell r="DT4" t="str">
            <v>KF</v>
          </cell>
          <cell r="DU4" t="str">
            <v>KF</v>
          </cell>
          <cell r="DV4" t="str">
            <v>KF</v>
          </cell>
          <cell r="DW4" t="str">
            <v>KF</v>
          </cell>
          <cell r="DX4" t="str">
            <v>LF</v>
          </cell>
          <cell r="DY4" t="str">
            <v>LF</v>
          </cell>
          <cell r="DZ4" t="str">
            <v>LF</v>
          </cell>
          <cell r="EA4" t="str">
            <v>KF</v>
          </cell>
          <cell r="EB4" t="str">
            <v>LF</v>
          </cell>
          <cell r="EC4" t="str">
            <v>KF</v>
          </cell>
          <cell r="ED4" t="str">
            <v>LF</v>
          </cell>
          <cell r="EE4" t="str">
            <v>KF</v>
          </cell>
          <cell r="EF4" t="str">
            <v>KF</v>
          </cell>
          <cell r="EG4" t="str">
            <v>KF</v>
          </cell>
          <cell r="EH4" t="str">
            <v>LF</v>
          </cell>
          <cell r="EJ4" t="str">
            <v>KF</v>
          </cell>
          <cell r="EK4" t="str">
            <v>KF</v>
          </cell>
          <cell r="EL4" t="str">
            <v>KF</v>
          </cell>
          <cell r="EM4" t="str">
            <v>KF</v>
          </cell>
          <cell r="EN4" t="str">
            <v>LF</v>
          </cell>
          <cell r="EO4" t="str">
            <v>LF</v>
          </cell>
          <cell r="EQ4" t="str">
            <v>KF</v>
          </cell>
          <cell r="ER4" t="str">
            <v>KF</v>
          </cell>
          <cell r="ES4" t="str">
            <v>KF</v>
          </cell>
          <cell r="ET4" t="str">
            <v>LF</v>
          </cell>
          <cell r="EV4" t="str">
            <v>KF</v>
          </cell>
          <cell r="EW4" t="str">
            <v>KF</v>
          </cell>
          <cell r="EX4" t="str">
            <v>KF</v>
          </cell>
          <cell r="EY4" t="str">
            <v>KF</v>
          </cell>
          <cell r="EZ4" t="str">
            <v>KF</v>
          </cell>
          <cell r="FA4" t="str">
            <v>KF</v>
          </cell>
        </row>
        <row r="5">
          <cell r="E5" t="str">
            <v>60R</v>
          </cell>
          <cell r="F5" t="str">
            <v>60R</v>
          </cell>
          <cell r="G5" t="str">
            <v>60R</v>
          </cell>
          <cell r="H5" t="str">
            <v>60R</v>
          </cell>
          <cell r="I5" t="str">
            <v>70R</v>
          </cell>
          <cell r="J5" t="str">
            <v>72R</v>
          </cell>
          <cell r="K5" t="str">
            <v>72R</v>
          </cell>
          <cell r="L5" t="str">
            <v>72R</v>
          </cell>
          <cell r="M5" t="str">
            <v>72R</v>
          </cell>
          <cell r="N5" t="str">
            <v>80R</v>
          </cell>
          <cell r="O5" t="str">
            <v>82R</v>
          </cell>
          <cell r="P5" t="str">
            <v>82R</v>
          </cell>
          <cell r="Q5" t="str">
            <v>82R</v>
          </cell>
          <cell r="R5" t="str">
            <v>80R</v>
          </cell>
          <cell r="S5" t="str">
            <v>82R</v>
          </cell>
          <cell r="T5" t="str">
            <v>82R</v>
          </cell>
          <cell r="U5" t="str">
            <v>72R</v>
          </cell>
          <cell r="V5" t="str">
            <v>70R</v>
          </cell>
          <cell r="W5" t="str">
            <v>82R</v>
          </cell>
          <cell r="X5" t="str">
            <v>82R</v>
          </cell>
          <cell r="Y5" t="str">
            <v>72R</v>
          </cell>
          <cell r="Z5" t="str">
            <v>70R</v>
          </cell>
          <cell r="AA5" t="str">
            <v>82R</v>
          </cell>
          <cell r="AB5" t="str">
            <v>82R</v>
          </cell>
          <cell r="AC5" t="str">
            <v>71R</v>
          </cell>
          <cell r="AD5" t="str">
            <v>71R</v>
          </cell>
          <cell r="AE5" t="str">
            <v>81R</v>
          </cell>
          <cell r="AF5" t="str">
            <v>81R</v>
          </cell>
          <cell r="AG5" t="str">
            <v>81R</v>
          </cell>
          <cell r="AI5" t="str">
            <v>80L</v>
          </cell>
          <cell r="AJ5" t="str">
            <v>80L</v>
          </cell>
          <cell r="AK5" t="str">
            <v>80L</v>
          </cell>
          <cell r="AL5" t="str">
            <v>80L</v>
          </cell>
          <cell r="AM5" t="str">
            <v>80L</v>
          </cell>
          <cell r="AN5" t="str">
            <v>80L</v>
          </cell>
          <cell r="AO5" t="str">
            <v>80L</v>
          </cell>
          <cell r="AP5" t="str">
            <v>81L</v>
          </cell>
          <cell r="AQ5" t="str">
            <v>81L</v>
          </cell>
          <cell r="AR5" t="str">
            <v>80L</v>
          </cell>
          <cell r="AS5" t="str">
            <v>80L</v>
          </cell>
          <cell r="AT5" t="str">
            <v>81L</v>
          </cell>
          <cell r="AU5" t="str">
            <v>81L</v>
          </cell>
          <cell r="AW5" t="str">
            <v>80R</v>
          </cell>
          <cell r="AX5" t="str">
            <v>80R</v>
          </cell>
          <cell r="AY5" t="str">
            <v>80R</v>
          </cell>
          <cell r="AZ5" t="str">
            <v>80R</v>
          </cell>
          <cell r="BB5" t="str">
            <v>60L</v>
          </cell>
          <cell r="BC5" t="str">
            <v>80L</v>
          </cell>
          <cell r="BD5" t="str">
            <v>80L</v>
          </cell>
          <cell r="BE5" t="str">
            <v>80L</v>
          </cell>
          <cell r="BF5" t="str">
            <v>80L</v>
          </cell>
          <cell r="BG5" t="str">
            <v>80L</v>
          </cell>
          <cell r="BH5" t="str">
            <v>85L</v>
          </cell>
          <cell r="BI5" t="str">
            <v>85L</v>
          </cell>
          <cell r="BJ5" t="str">
            <v>85L</v>
          </cell>
          <cell r="BK5" t="str">
            <v>84L</v>
          </cell>
          <cell r="BL5" t="str">
            <v>80L</v>
          </cell>
          <cell r="BM5" t="str">
            <v>80L</v>
          </cell>
          <cell r="BN5" t="str">
            <v>80L</v>
          </cell>
          <cell r="BO5" t="str">
            <v>80L</v>
          </cell>
          <cell r="BQ5" t="str">
            <v>60R</v>
          </cell>
          <cell r="BR5" t="str">
            <v>80R</v>
          </cell>
          <cell r="BS5" t="str">
            <v>80R</v>
          </cell>
          <cell r="BT5" t="str">
            <v>80R</v>
          </cell>
          <cell r="BU5" t="str">
            <v>80R</v>
          </cell>
          <cell r="BV5" t="str">
            <v>80R</v>
          </cell>
          <cell r="BW5" t="str">
            <v>85R</v>
          </cell>
          <cell r="BX5" t="str">
            <v>85R</v>
          </cell>
          <cell r="BY5" t="str">
            <v>81R</v>
          </cell>
          <cell r="BZ5" t="str">
            <v>81R</v>
          </cell>
          <cell r="CA5" t="str">
            <v>85R</v>
          </cell>
          <cell r="CB5" t="str">
            <v>85R</v>
          </cell>
          <cell r="CC5" t="str">
            <v>60L</v>
          </cell>
          <cell r="CD5" t="str">
            <v>80L</v>
          </cell>
          <cell r="CE5" t="str">
            <v>61L</v>
          </cell>
          <cell r="CF5" t="str">
            <v>81L</v>
          </cell>
          <cell r="CG5" t="str">
            <v>85L</v>
          </cell>
          <cell r="CX5" t="str">
            <v>January 2001</v>
          </cell>
          <cell r="DK5" t="str">
            <v>60R</v>
          </cell>
          <cell r="DL5" t="str">
            <v>60R</v>
          </cell>
          <cell r="DM5" t="str">
            <v>60R</v>
          </cell>
          <cell r="DN5" t="str">
            <v>60R</v>
          </cell>
          <cell r="DO5" t="str">
            <v>70R</v>
          </cell>
          <cell r="DP5" t="str">
            <v>70R</v>
          </cell>
          <cell r="DQ5" t="str">
            <v>70R</v>
          </cell>
          <cell r="DR5" t="str">
            <v>70R</v>
          </cell>
          <cell r="DS5" t="str">
            <v>70R</v>
          </cell>
          <cell r="DT5" t="str">
            <v>80R</v>
          </cell>
          <cell r="DU5" t="str">
            <v>80R</v>
          </cell>
          <cell r="DV5" t="str">
            <v>80R</v>
          </cell>
          <cell r="DW5" t="str">
            <v>80R</v>
          </cell>
          <cell r="DX5" t="str">
            <v>80R</v>
          </cell>
          <cell r="DY5" t="str">
            <v>80R</v>
          </cell>
          <cell r="DZ5" t="str">
            <v>80R</v>
          </cell>
          <cell r="EA5" t="str">
            <v>70R</v>
          </cell>
          <cell r="EB5" t="str">
            <v>70R</v>
          </cell>
          <cell r="EC5" t="str">
            <v>80R</v>
          </cell>
          <cell r="ED5" t="str">
            <v>80R</v>
          </cell>
          <cell r="EE5" t="str">
            <v>70R</v>
          </cell>
          <cell r="EF5" t="str">
            <v>70R</v>
          </cell>
          <cell r="EG5" t="str">
            <v>80R</v>
          </cell>
          <cell r="EH5" t="str">
            <v>80R</v>
          </cell>
          <cell r="EJ5" t="str">
            <v>80L</v>
          </cell>
          <cell r="EK5" t="str">
            <v>80L</v>
          </cell>
          <cell r="EL5" t="str">
            <v>80L</v>
          </cell>
          <cell r="EM5" t="str">
            <v>80L</v>
          </cell>
          <cell r="EN5" t="str">
            <v>80L</v>
          </cell>
          <cell r="EO5" t="str">
            <v>80L</v>
          </cell>
          <cell r="EQ5" t="str">
            <v>80R</v>
          </cell>
          <cell r="ER5" t="str">
            <v>80R</v>
          </cell>
          <cell r="ES5" t="str">
            <v>80R</v>
          </cell>
          <cell r="ET5" t="str">
            <v>80R</v>
          </cell>
          <cell r="EV5" t="str">
            <v>60L</v>
          </cell>
          <cell r="EW5" t="str">
            <v>80L</v>
          </cell>
          <cell r="EX5" t="str">
            <v>80L</v>
          </cell>
          <cell r="EY5" t="str">
            <v>80L</v>
          </cell>
          <cell r="EZ5" t="str">
            <v>80L</v>
          </cell>
          <cell r="FA5" t="str">
            <v>80L</v>
          </cell>
        </row>
        <row r="6">
          <cell r="E6" t="str">
            <v>TH</v>
          </cell>
          <cell r="F6" t="str">
            <v>TB</v>
          </cell>
          <cell r="G6" t="str">
            <v>TH</v>
          </cell>
          <cell r="H6" t="str">
            <v>TB</v>
          </cell>
          <cell r="I6" t="str">
            <v>GR</v>
          </cell>
          <cell r="J6" t="str">
            <v>GR</v>
          </cell>
          <cell r="K6" t="str">
            <v>GR</v>
          </cell>
          <cell r="L6" t="str">
            <v>GR</v>
          </cell>
          <cell r="M6" t="str">
            <v>GR</v>
          </cell>
          <cell r="N6" t="str">
            <v>GR</v>
          </cell>
          <cell r="O6" t="str">
            <v>GR</v>
          </cell>
          <cell r="P6" t="str">
            <v>GR</v>
          </cell>
          <cell r="Q6" t="str">
            <v>GR</v>
          </cell>
          <cell r="R6" t="str">
            <v>GR</v>
          </cell>
          <cell r="S6" t="str">
            <v>GR</v>
          </cell>
          <cell r="T6" t="str">
            <v>GR</v>
          </cell>
          <cell r="U6" t="str">
            <v>GR</v>
          </cell>
          <cell r="V6" t="str">
            <v>GR</v>
          </cell>
          <cell r="W6" t="str">
            <v>GR</v>
          </cell>
          <cell r="X6" t="str">
            <v>GR</v>
          </cell>
          <cell r="Y6" t="str">
            <v>GR</v>
          </cell>
          <cell r="Z6" t="str">
            <v>GR</v>
          </cell>
          <cell r="AA6" t="str">
            <v>GR</v>
          </cell>
          <cell r="AB6" t="str">
            <v>GR</v>
          </cell>
          <cell r="AC6" t="str">
            <v>GR</v>
          </cell>
          <cell r="AD6" t="str">
            <v>GR</v>
          </cell>
          <cell r="AE6" t="str">
            <v>GR</v>
          </cell>
          <cell r="AF6" t="str">
            <v>GR</v>
          </cell>
          <cell r="AG6" t="str">
            <v>GR</v>
          </cell>
          <cell r="AI6" t="str">
            <v>GR</v>
          </cell>
          <cell r="AJ6" t="str">
            <v>GR</v>
          </cell>
          <cell r="AK6" t="str">
            <v>GR</v>
          </cell>
          <cell r="AL6" t="str">
            <v>GR</v>
          </cell>
          <cell r="AM6" t="str">
            <v>GR</v>
          </cell>
          <cell r="AN6" t="str">
            <v>GR</v>
          </cell>
          <cell r="AO6" t="str">
            <v>GR</v>
          </cell>
          <cell r="AP6" t="str">
            <v>GR</v>
          </cell>
          <cell r="AQ6" t="str">
            <v>GR</v>
          </cell>
          <cell r="AR6" t="str">
            <v>GR</v>
          </cell>
          <cell r="AS6" t="str">
            <v>GR</v>
          </cell>
          <cell r="AT6" t="str">
            <v>GR</v>
          </cell>
          <cell r="AU6" t="str">
            <v>GR</v>
          </cell>
          <cell r="AW6" t="str">
            <v>GR</v>
          </cell>
          <cell r="AX6" t="str">
            <v>GR</v>
          </cell>
          <cell r="AY6" t="str">
            <v>GR</v>
          </cell>
          <cell r="AZ6" t="str">
            <v>GR</v>
          </cell>
          <cell r="BB6" t="str">
            <v>TG</v>
          </cell>
          <cell r="BC6" t="str">
            <v>ER</v>
          </cell>
          <cell r="BD6" t="str">
            <v>ER</v>
          </cell>
          <cell r="BE6" t="str">
            <v>ER</v>
          </cell>
          <cell r="BF6" t="str">
            <v>ER</v>
          </cell>
          <cell r="BG6" t="str">
            <v>HR</v>
          </cell>
          <cell r="BH6" t="str">
            <v>ER</v>
          </cell>
          <cell r="BI6" t="str">
            <v>ER</v>
          </cell>
          <cell r="BJ6" t="str">
            <v>HR</v>
          </cell>
          <cell r="BK6" t="str">
            <v>ER</v>
          </cell>
          <cell r="BL6" t="str">
            <v>HR</v>
          </cell>
          <cell r="BM6" t="str">
            <v>HR</v>
          </cell>
          <cell r="BN6" t="str">
            <v>HR</v>
          </cell>
          <cell r="BO6" t="str">
            <v>HR</v>
          </cell>
          <cell r="BQ6" t="str">
            <v>ER</v>
          </cell>
          <cell r="BR6" t="str">
            <v>HR</v>
          </cell>
          <cell r="BS6" t="str">
            <v>HR</v>
          </cell>
          <cell r="BT6" t="str">
            <v>HR</v>
          </cell>
          <cell r="BU6" t="str">
            <v>HR</v>
          </cell>
          <cell r="BV6" t="str">
            <v>HR</v>
          </cell>
          <cell r="BW6" t="str">
            <v>HR</v>
          </cell>
          <cell r="BX6" t="str">
            <v>HR</v>
          </cell>
          <cell r="BY6" t="str">
            <v>HR</v>
          </cell>
          <cell r="BZ6" t="str">
            <v>HR</v>
          </cell>
          <cell r="CA6" t="str">
            <v>HR</v>
          </cell>
          <cell r="CB6" t="str">
            <v>HR</v>
          </cell>
          <cell r="CC6" t="str">
            <v>ER</v>
          </cell>
          <cell r="CD6" t="str">
            <v>HR</v>
          </cell>
          <cell r="CE6" t="str">
            <v>ER</v>
          </cell>
          <cell r="CF6" t="str">
            <v>HR</v>
          </cell>
          <cell r="CG6" t="str">
            <v>HR</v>
          </cell>
          <cell r="CV6" t="str">
            <v>(S/P)</v>
          </cell>
          <cell r="DK6" t="str">
            <v>TH</v>
          </cell>
          <cell r="DL6" t="str">
            <v>TB</v>
          </cell>
          <cell r="DM6" t="str">
            <v>TH</v>
          </cell>
          <cell r="DN6" t="str">
            <v>TB</v>
          </cell>
          <cell r="DO6" t="str">
            <v>GR</v>
          </cell>
          <cell r="DP6" t="str">
            <v>GR</v>
          </cell>
          <cell r="DQ6" t="str">
            <v>GR</v>
          </cell>
          <cell r="DR6" t="str">
            <v>GR</v>
          </cell>
          <cell r="DS6" t="str">
            <v>GR</v>
          </cell>
          <cell r="DT6" t="str">
            <v>GR</v>
          </cell>
          <cell r="DU6" t="str">
            <v>GR</v>
          </cell>
          <cell r="DV6" t="str">
            <v>GR</v>
          </cell>
          <cell r="DW6" t="str">
            <v>GR</v>
          </cell>
          <cell r="DX6" t="str">
            <v>GR</v>
          </cell>
          <cell r="DY6" t="str">
            <v>GR</v>
          </cell>
          <cell r="DZ6" t="str">
            <v>GR</v>
          </cell>
          <cell r="EA6" t="str">
            <v>GR</v>
          </cell>
          <cell r="EB6" t="str">
            <v>GR</v>
          </cell>
          <cell r="EC6" t="str">
            <v>GR</v>
          </cell>
          <cell r="ED6" t="str">
            <v>GR</v>
          </cell>
          <cell r="EE6" t="str">
            <v>GR</v>
          </cell>
          <cell r="EF6" t="str">
            <v>GR</v>
          </cell>
          <cell r="EG6" t="str">
            <v>GR</v>
          </cell>
          <cell r="EH6" t="str">
            <v>GR</v>
          </cell>
          <cell r="EJ6" t="str">
            <v>GR</v>
          </cell>
          <cell r="EK6" t="str">
            <v>GR</v>
          </cell>
          <cell r="EL6" t="str">
            <v>GR</v>
          </cell>
          <cell r="EM6" t="str">
            <v>GR</v>
          </cell>
          <cell r="EN6" t="str">
            <v>GR</v>
          </cell>
          <cell r="EO6" t="str">
            <v>GR</v>
          </cell>
          <cell r="EQ6" t="str">
            <v>GR</v>
          </cell>
          <cell r="ER6" t="str">
            <v>GR</v>
          </cell>
          <cell r="ES6" t="str">
            <v>GR</v>
          </cell>
          <cell r="ET6" t="str">
            <v>GR</v>
          </cell>
          <cell r="EV6" t="str">
            <v>TG</v>
          </cell>
          <cell r="EW6" t="str">
            <v>ER</v>
          </cell>
          <cell r="EX6" t="str">
            <v>ER</v>
          </cell>
          <cell r="EY6" t="str">
            <v>ER</v>
          </cell>
          <cell r="EZ6" t="str">
            <v>ER</v>
          </cell>
          <cell r="FA6" t="str">
            <v>HR</v>
          </cell>
        </row>
        <row r="7">
          <cell r="E7" t="str">
            <v>MRS</v>
          </cell>
          <cell r="F7" t="str">
            <v>MRS</v>
          </cell>
          <cell r="G7" t="str">
            <v>MRS</v>
          </cell>
          <cell r="H7" t="str">
            <v>MRS</v>
          </cell>
          <cell r="I7" t="str">
            <v>MRS</v>
          </cell>
          <cell r="J7" t="str">
            <v>MDE</v>
          </cell>
          <cell r="K7" t="str">
            <v>MNE</v>
          </cell>
          <cell r="L7" t="str">
            <v>PNE</v>
          </cell>
          <cell r="M7" t="str">
            <v>MDS</v>
          </cell>
          <cell r="N7" t="str">
            <v>MRS</v>
          </cell>
          <cell r="O7" t="str">
            <v>MDE</v>
          </cell>
          <cell r="P7" t="str">
            <v>MNE</v>
          </cell>
          <cell r="Q7" t="str">
            <v>PNE</v>
          </cell>
          <cell r="R7" t="str">
            <v>MRS</v>
          </cell>
          <cell r="S7" t="str">
            <v>MDE</v>
          </cell>
          <cell r="T7" t="str">
            <v>MNS</v>
          </cell>
          <cell r="U7" t="str">
            <v>MDE7</v>
          </cell>
          <cell r="V7" t="str">
            <v>MDS7</v>
          </cell>
          <cell r="W7" t="str">
            <v>MDE7</v>
          </cell>
          <cell r="X7" t="str">
            <v>MDS7</v>
          </cell>
          <cell r="Y7" t="str">
            <v>MDE</v>
          </cell>
          <cell r="Z7" t="str">
            <v>MNS</v>
          </cell>
          <cell r="AA7" t="str">
            <v>MNE</v>
          </cell>
          <cell r="AB7" t="str">
            <v>MNS</v>
          </cell>
          <cell r="AI7" t="str">
            <v>MR</v>
          </cell>
          <cell r="AJ7" t="str">
            <v>MD</v>
          </cell>
          <cell r="AK7" t="str">
            <v>MN</v>
          </cell>
          <cell r="AL7" t="str">
            <v>PN</v>
          </cell>
          <cell r="AM7" t="str">
            <v>MR</v>
          </cell>
          <cell r="AN7" t="str">
            <v>MD</v>
          </cell>
          <cell r="AO7" t="str">
            <v>MN</v>
          </cell>
          <cell r="AP7" t="str">
            <v>MN</v>
          </cell>
          <cell r="AQ7" t="str">
            <v>PN</v>
          </cell>
          <cell r="AR7" t="str">
            <v>MN</v>
          </cell>
          <cell r="AS7" t="str">
            <v>PN</v>
          </cell>
          <cell r="AT7" t="str">
            <v>MN</v>
          </cell>
          <cell r="AU7" t="str">
            <v>PN</v>
          </cell>
          <cell r="AW7" t="str">
            <v>MD</v>
          </cell>
          <cell r="AX7" t="str">
            <v>MN</v>
          </cell>
          <cell r="AY7" t="str">
            <v>PN</v>
          </cell>
          <cell r="AZ7" t="str">
            <v>MN</v>
          </cell>
          <cell r="BB7" t="str">
            <v>MR</v>
          </cell>
          <cell r="BC7" t="str">
            <v>MR</v>
          </cell>
          <cell r="BD7" t="str">
            <v>MD</v>
          </cell>
          <cell r="BE7" t="str">
            <v>PD</v>
          </cell>
          <cell r="BF7" t="str">
            <v>PN</v>
          </cell>
          <cell r="BG7" t="str">
            <v>PN</v>
          </cell>
          <cell r="BH7" t="str">
            <v>MN</v>
          </cell>
          <cell r="BI7" t="str">
            <v>PN</v>
          </cell>
          <cell r="BJ7" t="str">
            <v>PN</v>
          </cell>
          <cell r="BK7" t="str">
            <v>PN</v>
          </cell>
          <cell r="BL7" t="str">
            <v>MD</v>
          </cell>
          <cell r="BM7" t="str">
            <v>MN</v>
          </cell>
          <cell r="BN7" t="str">
            <v>MD</v>
          </cell>
          <cell r="BO7" t="str">
            <v>MN</v>
          </cell>
          <cell r="BQ7" t="str">
            <v>MR</v>
          </cell>
          <cell r="BR7" t="str">
            <v>MD</v>
          </cell>
          <cell r="BS7" t="str">
            <v>MD</v>
          </cell>
          <cell r="BT7" t="str">
            <v>MD</v>
          </cell>
          <cell r="BU7" t="str">
            <v>MN</v>
          </cell>
          <cell r="BV7" t="str">
            <v>MN</v>
          </cell>
          <cell r="BW7" t="str">
            <v>MN</v>
          </cell>
          <cell r="BX7" t="str">
            <v>MN</v>
          </cell>
          <cell r="BY7" t="str">
            <v>MD</v>
          </cell>
          <cell r="BZ7" t="str">
            <v>MD</v>
          </cell>
          <cell r="CA7" t="str">
            <v>MN</v>
          </cell>
          <cell r="CB7" t="str">
            <v>MN</v>
          </cell>
          <cell r="CC7" t="str">
            <v>MR</v>
          </cell>
          <cell r="CD7" t="str">
            <v>MD</v>
          </cell>
          <cell r="CE7" t="str">
            <v>MR</v>
          </cell>
          <cell r="CF7" t="str">
            <v>MD</v>
          </cell>
          <cell r="CG7" t="str">
            <v>MN</v>
          </cell>
          <cell r="CI7" t="str">
            <v>STR/</v>
          </cell>
          <cell r="CJ7" t="str">
            <v>STR/</v>
          </cell>
          <cell r="CK7" t="str">
            <v>STR/</v>
          </cell>
          <cell r="CL7" t="str">
            <v>STR/</v>
          </cell>
          <cell r="CM7" t="str">
            <v>STR/</v>
          </cell>
          <cell r="CN7" t="str">
            <v>STR/</v>
          </cell>
          <cell r="CO7" t="str">
            <v>STR/</v>
          </cell>
          <cell r="CP7" t="str">
            <v>STR/</v>
          </cell>
          <cell r="CQ7" t="str">
            <v>STR/</v>
          </cell>
          <cell r="CR7" t="str">
            <v>STR/</v>
          </cell>
          <cell r="CS7" t="str">
            <v>STR/</v>
          </cell>
          <cell r="CT7" t="str">
            <v>STR/</v>
          </cell>
          <cell r="CU7" t="str">
            <v>STR/</v>
          </cell>
          <cell r="CV7" t="str">
            <v>STR/</v>
          </cell>
          <cell r="CW7" t="str">
            <v>STR/</v>
          </cell>
          <cell r="CX7" t="str">
            <v>STR/</v>
          </cell>
          <cell r="CY7" t="str">
            <v>STR/</v>
          </cell>
          <cell r="CZ7" t="str">
            <v>STR/</v>
          </cell>
          <cell r="DA7" t="str">
            <v>PROD.</v>
          </cell>
          <cell r="DB7" t="str">
            <v>PROD.</v>
          </cell>
          <cell r="DC7" t="str">
            <v>PROD.</v>
          </cell>
          <cell r="DD7" t="str">
            <v>PROD.</v>
          </cell>
          <cell r="DE7" t="str">
            <v>PROD.</v>
          </cell>
          <cell r="DF7" t="str">
            <v>PROD.</v>
          </cell>
          <cell r="DG7" t="str">
            <v>Total</v>
          </cell>
          <cell r="DK7" t="str">
            <v>KRS</v>
          </cell>
          <cell r="DL7" t="str">
            <v>KRS</v>
          </cell>
          <cell r="DM7" t="str">
            <v>KRS</v>
          </cell>
          <cell r="DN7" t="str">
            <v>KRS</v>
          </cell>
          <cell r="DO7" t="str">
            <v>KRS</v>
          </cell>
          <cell r="DP7" t="str">
            <v>MDS</v>
          </cell>
          <cell r="DQ7" t="str">
            <v>MNS</v>
          </cell>
          <cell r="DR7" t="str">
            <v>PNS</v>
          </cell>
          <cell r="DS7" t="str">
            <v>MDS</v>
          </cell>
          <cell r="DT7" t="str">
            <v>KRS</v>
          </cell>
          <cell r="DU7" t="str">
            <v>MDS</v>
          </cell>
          <cell r="DV7" t="str">
            <v>MNS</v>
          </cell>
          <cell r="DW7" t="str">
            <v>PNS</v>
          </cell>
          <cell r="DX7" t="str">
            <v>KRS</v>
          </cell>
          <cell r="DY7" t="str">
            <v>MDS</v>
          </cell>
          <cell r="DZ7" t="str">
            <v>MNS</v>
          </cell>
          <cell r="EA7" t="str">
            <v>MDS7</v>
          </cell>
          <cell r="EB7" t="str">
            <v>MDS7</v>
          </cell>
          <cell r="EC7" t="str">
            <v>MDS7</v>
          </cell>
          <cell r="ED7" t="str">
            <v>MDS7</v>
          </cell>
          <cell r="EE7" t="str">
            <v>MDS</v>
          </cell>
          <cell r="EF7" t="str">
            <v>MNS</v>
          </cell>
          <cell r="EG7" t="str">
            <v>MNS</v>
          </cell>
          <cell r="EH7" t="str">
            <v>MNS</v>
          </cell>
          <cell r="EJ7" t="str">
            <v>MR</v>
          </cell>
          <cell r="EK7" t="str">
            <v>MD</v>
          </cell>
          <cell r="EL7" t="str">
            <v>MN</v>
          </cell>
          <cell r="EM7" t="str">
            <v>PN</v>
          </cell>
          <cell r="EN7" t="str">
            <v>MR</v>
          </cell>
          <cell r="EO7" t="str">
            <v>MD</v>
          </cell>
          <cell r="EQ7" t="str">
            <v>MD</v>
          </cell>
          <cell r="ER7" t="str">
            <v>MN</v>
          </cell>
          <cell r="ES7" t="str">
            <v>PN</v>
          </cell>
          <cell r="ET7" t="str">
            <v>MN</v>
          </cell>
          <cell r="EV7" t="str">
            <v>MR</v>
          </cell>
          <cell r="EW7" t="str">
            <v>MR</v>
          </cell>
          <cell r="EX7" t="str">
            <v>MD</v>
          </cell>
          <cell r="EY7" t="str">
            <v>PD</v>
          </cell>
          <cell r="EZ7" t="str">
            <v>PN</v>
          </cell>
          <cell r="FA7" t="str">
            <v>PN</v>
          </cell>
        </row>
        <row r="8">
          <cell r="C8" t="str">
            <v/>
          </cell>
          <cell r="L8" t="str">
            <v>*</v>
          </cell>
          <cell r="N8" t="str">
            <v>*</v>
          </cell>
          <cell r="R8" t="str">
            <v>*</v>
          </cell>
          <cell r="V8" t="str">
            <v>*</v>
          </cell>
          <cell r="Y8" t="str">
            <v>-10</v>
          </cell>
          <cell r="Z8" t="str">
            <v>-10</v>
          </cell>
          <cell r="AA8" t="str">
            <v>-10</v>
          </cell>
          <cell r="AB8" t="str">
            <v>-10</v>
          </cell>
          <cell r="AC8" t="str">
            <v>MNE</v>
          </cell>
          <cell r="AD8" t="str">
            <v>PNE</v>
          </cell>
          <cell r="AE8" t="str">
            <v>MNE</v>
          </cell>
          <cell r="AF8" t="str">
            <v>MNE</v>
          </cell>
          <cell r="AG8" t="str">
            <v>PNE</v>
          </cell>
          <cell r="AI8" t="str">
            <v>EM</v>
          </cell>
          <cell r="AJ8" t="str">
            <v>EM</v>
          </cell>
          <cell r="AK8" t="str">
            <v>EM</v>
          </cell>
          <cell r="AL8" t="str">
            <v>EM</v>
          </cell>
          <cell r="AM8" t="str">
            <v>SM</v>
          </cell>
          <cell r="AN8" t="str">
            <v>SM</v>
          </cell>
          <cell r="AO8" t="str">
            <v>SM</v>
          </cell>
          <cell r="AW8" t="str">
            <v>EE</v>
          </cell>
          <cell r="AX8" t="str">
            <v>EE</v>
          </cell>
          <cell r="AY8" t="str">
            <v>EE</v>
          </cell>
          <cell r="AZ8" t="str">
            <v>SE</v>
          </cell>
          <cell r="BA8" t="str">
            <v>EXC</v>
          </cell>
          <cell r="BB8" t="str">
            <v>ER</v>
          </cell>
          <cell r="BC8" t="str">
            <v>ER</v>
          </cell>
          <cell r="BD8" t="str">
            <v>ER</v>
          </cell>
          <cell r="BE8" t="str">
            <v>ER</v>
          </cell>
          <cell r="BF8" t="str">
            <v>ER</v>
          </cell>
          <cell r="BG8" t="str">
            <v>ER</v>
          </cell>
          <cell r="BH8" t="str">
            <v>ER</v>
          </cell>
          <cell r="BI8" t="str">
            <v>ER</v>
          </cell>
          <cell r="BJ8" t="str">
            <v>ER</v>
          </cell>
          <cell r="BK8" t="str">
            <v>ER</v>
          </cell>
          <cell r="BL8" t="str">
            <v>EU</v>
          </cell>
          <cell r="BM8" t="str">
            <v>EU</v>
          </cell>
          <cell r="BN8" t="str">
            <v>EU</v>
          </cell>
          <cell r="BO8" t="str">
            <v>EU</v>
          </cell>
          <cell r="BQ8" t="str">
            <v>SN</v>
          </cell>
          <cell r="BR8" t="str">
            <v>SN</v>
          </cell>
          <cell r="BS8" t="str">
            <v>EN</v>
          </cell>
          <cell r="BT8" t="str">
            <v>EN</v>
          </cell>
          <cell r="BU8" t="str">
            <v>EN</v>
          </cell>
          <cell r="BV8" t="str">
            <v>EN</v>
          </cell>
          <cell r="BW8" t="str">
            <v>EN</v>
          </cell>
          <cell r="BX8" t="str">
            <v>EN</v>
          </cell>
          <cell r="BY8" t="str">
            <v>SN</v>
          </cell>
          <cell r="BZ8" t="str">
            <v>SN</v>
          </cell>
          <cell r="CA8" t="str">
            <v>SN</v>
          </cell>
          <cell r="CB8" t="str">
            <v>SN</v>
          </cell>
          <cell r="CC8" t="str">
            <v>SN</v>
          </cell>
          <cell r="CD8" t="str">
            <v>SN</v>
          </cell>
          <cell r="CE8" t="str">
            <v>SN</v>
          </cell>
          <cell r="CF8" t="str">
            <v>SN</v>
          </cell>
          <cell r="CG8" t="str">
            <v>SN</v>
          </cell>
          <cell r="CI8" t="str">
            <v>PART</v>
          </cell>
          <cell r="CJ8" t="str">
            <v>ORIGI</v>
          </cell>
          <cell r="CK8" t="str">
            <v>UNIT</v>
          </cell>
          <cell r="CL8" t="str">
            <v>MONTH</v>
          </cell>
          <cell r="CM8" t="str">
            <v>DAY</v>
          </cell>
          <cell r="CN8" t="str">
            <v>MONTH</v>
          </cell>
          <cell r="CO8" t="str">
            <v>DAY</v>
          </cell>
          <cell r="CP8" t="str">
            <v>MONTH</v>
          </cell>
          <cell r="CQ8" t="str">
            <v>DAY</v>
          </cell>
          <cell r="CR8" t="str">
            <v>MONTH</v>
          </cell>
          <cell r="CS8" t="str">
            <v>DAY</v>
          </cell>
          <cell r="CT8" t="str">
            <v>MONTH</v>
          </cell>
          <cell r="CU8" t="str">
            <v>DAY</v>
          </cell>
          <cell r="CV8" t="str">
            <v>MONTH</v>
          </cell>
          <cell r="CW8" t="str">
            <v>MONTH</v>
          </cell>
          <cell r="CX8" t="str">
            <v>DAY</v>
          </cell>
          <cell r="CY8" t="str">
            <v>MONTH</v>
          </cell>
          <cell r="CZ8" t="str">
            <v>DAY</v>
          </cell>
          <cell r="DA8" t="str">
            <v>HOUR</v>
          </cell>
          <cell r="DB8" t="str">
            <v>HOUR</v>
          </cell>
          <cell r="DC8" t="str">
            <v>HOUR</v>
          </cell>
          <cell r="DD8" t="str">
            <v>HOUR</v>
          </cell>
          <cell r="DE8" t="str">
            <v>HOUR</v>
          </cell>
          <cell r="DF8" t="str">
            <v>HOUR</v>
          </cell>
          <cell r="DG8" t="str">
            <v>Str/</v>
          </cell>
          <cell r="DR8" t="str">
            <v>*</v>
          </cell>
          <cell r="DT8" t="str">
            <v>*</v>
          </cell>
          <cell r="DX8" t="str">
            <v>*</v>
          </cell>
          <cell r="EB8" t="str">
            <v>*</v>
          </cell>
          <cell r="EE8" t="str">
            <v>-10</v>
          </cell>
          <cell r="EF8" t="str">
            <v>-10</v>
          </cell>
          <cell r="EG8" t="str">
            <v>-10</v>
          </cell>
          <cell r="EH8" t="str">
            <v>-10</v>
          </cell>
          <cell r="EJ8" t="str">
            <v>EM</v>
          </cell>
          <cell r="EK8" t="str">
            <v>EM</v>
          </cell>
          <cell r="EL8" t="str">
            <v>EM</v>
          </cell>
          <cell r="EM8" t="str">
            <v>EM</v>
          </cell>
          <cell r="EN8" t="str">
            <v>SM</v>
          </cell>
          <cell r="EO8" t="str">
            <v>SM</v>
          </cell>
          <cell r="EQ8" t="str">
            <v>EE</v>
          </cell>
          <cell r="ER8" t="str">
            <v>EE</v>
          </cell>
          <cell r="ES8" t="str">
            <v>EE</v>
          </cell>
          <cell r="ET8" t="str">
            <v>SE</v>
          </cell>
          <cell r="EU8" t="str">
            <v>EXC</v>
          </cell>
          <cell r="EV8" t="str">
            <v>ER</v>
          </cell>
          <cell r="EW8" t="str">
            <v>ER</v>
          </cell>
          <cell r="EX8" t="str">
            <v>ER</v>
          </cell>
          <cell r="EY8" t="str">
            <v>ER</v>
          </cell>
          <cell r="EZ8" t="str">
            <v>ER</v>
          </cell>
          <cell r="FA8" t="str">
            <v>ER</v>
          </cell>
        </row>
        <row r="9">
          <cell r="C9">
            <v>37516.095431134258</v>
          </cell>
          <cell r="D9" t="str">
            <v/>
          </cell>
          <cell r="E9" t="str">
            <v/>
          </cell>
          <cell r="F9" t="str">
            <v>P/U</v>
          </cell>
          <cell r="G9" t="str">
            <v/>
          </cell>
          <cell r="H9" t="str">
            <v/>
          </cell>
          <cell r="I9" t="str">
            <v/>
          </cell>
          <cell r="J9" t="str">
            <v>short</v>
          </cell>
          <cell r="K9" t="str">
            <v>VAN</v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>VAN L</v>
          </cell>
          <cell r="Q9" t="str">
            <v/>
          </cell>
          <cell r="R9" t="str">
            <v>long</v>
          </cell>
          <cell r="S9" t="str">
            <v/>
          </cell>
          <cell r="U9" t="str">
            <v>-7 S</v>
          </cell>
          <cell r="V9" t="str">
            <v/>
          </cell>
          <cell r="W9" t="str">
            <v>-7 L</v>
          </cell>
          <cell r="X9" t="str">
            <v/>
          </cell>
          <cell r="Y9" t="str">
            <v>(S)</v>
          </cell>
          <cell r="Z9" t="str">
            <v>(S)</v>
          </cell>
          <cell r="AA9" t="str">
            <v>(S)</v>
          </cell>
          <cell r="AB9" t="str">
            <v>(S)</v>
          </cell>
          <cell r="AH9" t="str">
            <v>PHIL</v>
          </cell>
          <cell r="AI9" t="str">
            <v>CP</v>
          </cell>
          <cell r="AJ9" t="str">
            <v>CQ</v>
          </cell>
          <cell r="AK9" t="str">
            <v>CR</v>
          </cell>
          <cell r="AL9" t="str">
            <v>CS</v>
          </cell>
          <cell r="AM9" t="str">
            <v>CT</v>
          </cell>
          <cell r="AN9" t="str">
            <v>CU</v>
          </cell>
          <cell r="AO9" t="str">
            <v>CU</v>
          </cell>
          <cell r="AP9" t="str">
            <v>EM</v>
          </cell>
          <cell r="AQ9" t="str">
            <v>EM</v>
          </cell>
          <cell r="AR9" t="str">
            <v>EM</v>
          </cell>
          <cell r="AS9" t="str">
            <v>EM</v>
          </cell>
          <cell r="AT9" t="str">
            <v>EM</v>
          </cell>
          <cell r="AU9" t="str">
            <v>EM</v>
          </cell>
          <cell r="BA9" t="str">
            <v>MAL</v>
          </cell>
          <cell r="CL9" t="str">
            <v>(Phil)</v>
          </cell>
          <cell r="CM9" t="str">
            <v>(Phil)</v>
          </cell>
          <cell r="CN9" t="str">
            <v>(Mal)</v>
          </cell>
          <cell r="CO9" t="str">
            <v>(Mal)</v>
          </cell>
          <cell r="CP9" t="str">
            <v>(TAI)</v>
          </cell>
          <cell r="CQ9" t="str">
            <v>(TAI)</v>
          </cell>
          <cell r="CR9" t="str">
            <v>(VIET)</v>
          </cell>
          <cell r="CS9" t="str">
            <v>(VIET)</v>
          </cell>
          <cell r="CT9" t="str">
            <v>(SA)</v>
          </cell>
          <cell r="CU9" t="str">
            <v>(SA)</v>
          </cell>
          <cell r="CW9" t="str">
            <v>(DOM)</v>
          </cell>
          <cell r="CX9" t="str">
            <v>(DOM)</v>
          </cell>
          <cell r="CY9" t="str">
            <v>(Total)</v>
          </cell>
          <cell r="CZ9" t="str">
            <v>(Tot.)</v>
          </cell>
          <cell r="DA9" t="str">
            <v>(DOM)</v>
          </cell>
          <cell r="DB9" t="str">
            <v>(Phil)</v>
          </cell>
          <cell r="DC9" t="str">
            <v>(Mal)</v>
          </cell>
          <cell r="DD9" t="str">
            <v>(TAI)</v>
          </cell>
          <cell r="DE9" t="str">
            <v>(VIET)</v>
          </cell>
          <cell r="DF9" t="str">
            <v>(SA)</v>
          </cell>
          <cell r="DG9" t="str">
            <v>Month</v>
          </cell>
          <cell r="DK9" t="str">
            <v/>
          </cell>
          <cell r="DL9" t="str">
            <v>P/U</v>
          </cell>
          <cell r="DM9" t="str">
            <v/>
          </cell>
          <cell r="DN9" t="str">
            <v/>
          </cell>
          <cell r="DO9" t="str">
            <v/>
          </cell>
          <cell r="DP9" t="str">
            <v>short</v>
          </cell>
          <cell r="DQ9" t="str">
            <v>VAN</v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>VAN L</v>
          </cell>
          <cell r="DW9" t="str">
            <v/>
          </cell>
          <cell r="DX9" t="str">
            <v>long</v>
          </cell>
          <cell r="DY9" t="str">
            <v/>
          </cell>
          <cell r="EA9" t="str">
            <v>-7 S</v>
          </cell>
          <cell r="EB9" t="str">
            <v/>
          </cell>
          <cell r="EC9" t="str">
            <v>-7 L</v>
          </cell>
          <cell r="ED9" t="str">
            <v/>
          </cell>
          <cell r="EE9" t="str">
            <v>(S)</v>
          </cell>
          <cell r="EF9" t="str">
            <v>(S)</v>
          </cell>
          <cell r="EG9" t="str">
            <v>(S)</v>
          </cell>
          <cell r="EH9" t="str">
            <v>(S)</v>
          </cell>
          <cell r="EI9" t="str">
            <v>PHIL</v>
          </cell>
          <cell r="EJ9" t="str">
            <v>CP</v>
          </cell>
          <cell r="EK9" t="str">
            <v>CQ</v>
          </cell>
          <cell r="EL9" t="str">
            <v>CR</v>
          </cell>
          <cell r="EM9" t="str">
            <v>CS</v>
          </cell>
          <cell r="EN9" t="str">
            <v>CT</v>
          </cell>
          <cell r="EO9" t="str">
            <v>CU</v>
          </cell>
          <cell r="EU9" t="str">
            <v>MAL</v>
          </cell>
        </row>
        <row r="10">
          <cell r="B10" t="str">
            <v>LINE</v>
          </cell>
          <cell r="C10" t="str">
            <v>PART NO.</v>
          </cell>
          <cell r="D10" t="str">
            <v>PART NAME</v>
          </cell>
          <cell r="E10">
            <v>280</v>
          </cell>
          <cell r="F10">
            <v>0</v>
          </cell>
          <cell r="G10">
            <v>120</v>
          </cell>
          <cell r="H10">
            <v>2</v>
          </cell>
          <cell r="I10">
            <v>210</v>
          </cell>
          <cell r="J10">
            <v>105</v>
          </cell>
          <cell r="K10">
            <v>130</v>
          </cell>
          <cell r="L10">
            <v>0</v>
          </cell>
          <cell r="M10">
            <v>0</v>
          </cell>
          <cell r="N10">
            <v>300</v>
          </cell>
          <cell r="O10">
            <v>400</v>
          </cell>
          <cell r="P10">
            <v>850</v>
          </cell>
          <cell r="Q10">
            <v>0</v>
          </cell>
          <cell r="R10">
            <v>185</v>
          </cell>
          <cell r="S10">
            <v>350</v>
          </cell>
          <cell r="T10">
            <v>1065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360</v>
          </cell>
          <cell r="AC10">
            <v>0</v>
          </cell>
          <cell r="AD10">
            <v>0</v>
          </cell>
          <cell r="AE10">
            <v>655</v>
          </cell>
          <cell r="AF10">
            <v>580</v>
          </cell>
          <cell r="AG10">
            <v>168</v>
          </cell>
          <cell r="AI10">
            <v>40</v>
          </cell>
          <cell r="AJ10">
            <v>50</v>
          </cell>
          <cell r="AK10">
            <v>120</v>
          </cell>
          <cell r="AL10">
            <v>70</v>
          </cell>
          <cell r="AM10">
            <v>40</v>
          </cell>
          <cell r="AN10">
            <v>50</v>
          </cell>
          <cell r="AO10">
            <v>100</v>
          </cell>
          <cell r="AP10">
            <v>150</v>
          </cell>
          <cell r="AQ10">
            <v>90</v>
          </cell>
          <cell r="AR10">
            <v>0</v>
          </cell>
          <cell r="AS10">
            <v>0</v>
          </cell>
          <cell r="AT10">
            <v>200</v>
          </cell>
          <cell r="AU10">
            <v>200</v>
          </cell>
          <cell r="AW10">
            <v>0</v>
          </cell>
          <cell r="AX10">
            <v>330</v>
          </cell>
          <cell r="AY10">
            <v>330</v>
          </cell>
          <cell r="AZ10">
            <v>10</v>
          </cell>
          <cell r="BB10">
            <v>110</v>
          </cell>
          <cell r="BC10">
            <v>180</v>
          </cell>
          <cell r="BD10">
            <v>10</v>
          </cell>
          <cell r="BE10">
            <v>190</v>
          </cell>
          <cell r="BF10">
            <v>120</v>
          </cell>
          <cell r="BG10">
            <v>10</v>
          </cell>
          <cell r="BH10">
            <v>10</v>
          </cell>
          <cell r="BI10">
            <v>40</v>
          </cell>
          <cell r="BJ10">
            <v>0</v>
          </cell>
          <cell r="BK10">
            <v>30</v>
          </cell>
          <cell r="BL10">
            <v>20</v>
          </cell>
          <cell r="BM10">
            <v>90</v>
          </cell>
          <cell r="BN10">
            <v>10</v>
          </cell>
          <cell r="BO10">
            <v>100</v>
          </cell>
          <cell r="BQ10">
            <v>20</v>
          </cell>
          <cell r="BR10">
            <v>90</v>
          </cell>
          <cell r="BS10">
            <v>0</v>
          </cell>
          <cell r="BT10">
            <v>0</v>
          </cell>
          <cell r="BU10">
            <v>80</v>
          </cell>
          <cell r="BV10">
            <v>0</v>
          </cell>
          <cell r="BW10">
            <v>10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L10">
            <v>1110</v>
          </cell>
          <cell r="CN10">
            <v>670</v>
          </cell>
          <cell r="CP10">
            <v>810</v>
          </cell>
          <cell r="CR10">
            <v>110</v>
          </cell>
          <cell r="CT10">
            <v>200</v>
          </cell>
          <cell r="CW10">
            <v>5760</v>
          </cell>
          <cell r="CY10">
            <v>8550</v>
          </cell>
          <cell r="DK10">
            <v>99</v>
          </cell>
          <cell r="DL10">
            <v>5</v>
          </cell>
          <cell r="DM10">
            <v>17</v>
          </cell>
          <cell r="DN10">
            <v>11</v>
          </cell>
          <cell r="DO10">
            <v>68</v>
          </cell>
          <cell r="DP10">
            <v>54</v>
          </cell>
          <cell r="DQ10">
            <v>44</v>
          </cell>
          <cell r="DT10">
            <v>111</v>
          </cell>
          <cell r="DU10">
            <v>111</v>
          </cell>
          <cell r="DV10">
            <v>369</v>
          </cell>
          <cell r="DW10">
            <v>52</v>
          </cell>
          <cell r="DX10">
            <v>10</v>
          </cell>
          <cell r="DY10">
            <v>138</v>
          </cell>
          <cell r="DZ10">
            <v>117</v>
          </cell>
          <cell r="EE10">
            <v>35</v>
          </cell>
          <cell r="EG10">
            <v>115</v>
          </cell>
          <cell r="EH10">
            <v>92</v>
          </cell>
          <cell r="EJ10">
            <v>90</v>
          </cell>
          <cell r="EK10">
            <v>210</v>
          </cell>
          <cell r="EL10">
            <v>260</v>
          </cell>
          <cell r="EM10">
            <v>270</v>
          </cell>
          <cell r="EN10">
            <v>100</v>
          </cell>
          <cell r="EO10">
            <v>180</v>
          </cell>
          <cell r="EQ10">
            <v>10</v>
          </cell>
          <cell r="ER10">
            <v>390</v>
          </cell>
          <cell r="ET10">
            <v>30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</row>
        <row r="11">
          <cell r="E11" t="str">
            <v>W/D =</v>
          </cell>
          <cell r="G11">
            <v>22</v>
          </cell>
          <cell r="AE11" t="str">
            <v>Total :</v>
          </cell>
          <cell r="AG11">
            <v>5760</v>
          </cell>
          <cell r="AI11" t="str">
            <v>Total :</v>
          </cell>
          <cell r="AK11">
            <v>1110</v>
          </cell>
          <cell r="AW11" t="str">
            <v>Total :</v>
          </cell>
          <cell r="AY11">
            <v>670</v>
          </cell>
          <cell r="BB11" t="str">
            <v>Total :</v>
          </cell>
          <cell r="BE11">
            <v>810</v>
          </cell>
          <cell r="BM11" t="str">
            <v>Total :</v>
          </cell>
          <cell r="BO11">
            <v>110</v>
          </cell>
          <cell r="BQ11" t="str">
            <v>Total :</v>
          </cell>
          <cell r="BT11">
            <v>200</v>
          </cell>
          <cell r="CL11" t="str">
            <v>W/D =</v>
          </cell>
          <cell r="CM11">
            <v>22</v>
          </cell>
        </row>
        <row r="571">
          <cell r="A571" t="str">
            <v>GSS</v>
          </cell>
          <cell r="B571" t="str">
            <v>E</v>
          </cell>
          <cell r="C571" t="str">
            <v>52144-95010</v>
          </cell>
          <cell r="D571" t="str">
            <v>STAY FRONT BUMPER CTR</v>
          </cell>
          <cell r="E571">
            <v>0</v>
          </cell>
          <cell r="F571">
            <v>1</v>
          </cell>
          <cell r="G571">
            <v>0</v>
          </cell>
          <cell r="CI571">
            <v>0</v>
          </cell>
          <cell r="CJ571">
            <v>1</v>
          </cell>
          <cell r="CK571">
            <v>0</v>
          </cell>
          <cell r="CW571">
            <v>0</v>
          </cell>
          <cell r="CX571">
            <v>0</v>
          </cell>
          <cell r="DA571">
            <v>0</v>
          </cell>
        </row>
        <row r="572">
          <cell r="A572" t="str">
            <v>GSS</v>
          </cell>
          <cell r="B572" t="str">
            <v>E</v>
          </cell>
          <cell r="C572" t="str">
            <v>52595-761D1</v>
          </cell>
          <cell r="D572" t="str">
            <v>BRACKET FOG LAMP NO.1 RH</v>
          </cell>
          <cell r="E572">
            <v>0</v>
          </cell>
          <cell r="F572">
            <v>1</v>
          </cell>
          <cell r="G572">
            <v>0</v>
          </cell>
          <cell r="CI572">
            <v>0</v>
          </cell>
          <cell r="CJ572">
            <v>1</v>
          </cell>
          <cell r="CK572">
            <v>0</v>
          </cell>
          <cell r="CW572">
            <v>0</v>
          </cell>
          <cell r="CX572">
            <v>0</v>
          </cell>
          <cell r="DA572">
            <v>0</v>
          </cell>
        </row>
        <row r="573">
          <cell r="A573" t="str">
            <v>GSS</v>
          </cell>
          <cell r="B573" t="str">
            <v>E</v>
          </cell>
          <cell r="C573" t="str">
            <v>52596-761D1</v>
          </cell>
          <cell r="D573" t="str">
            <v>BRACKET FOG LAMP NO.1 LH</v>
          </cell>
          <cell r="E573">
            <v>0</v>
          </cell>
          <cell r="F573">
            <v>1</v>
          </cell>
          <cell r="G573">
            <v>0</v>
          </cell>
          <cell r="CI573">
            <v>0</v>
          </cell>
          <cell r="CJ573">
            <v>1</v>
          </cell>
          <cell r="CK573">
            <v>0</v>
          </cell>
          <cell r="CW573">
            <v>0</v>
          </cell>
          <cell r="CX573">
            <v>0</v>
          </cell>
          <cell r="DA573">
            <v>0</v>
          </cell>
        </row>
        <row r="574">
          <cell r="A574" t="str">
            <v>GSS</v>
          </cell>
          <cell r="B574" t="str">
            <v>E</v>
          </cell>
          <cell r="C574" t="str">
            <v>52597-761D1</v>
          </cell>
          <cell r="D574" t="str">
            <v>BRACKET FOG LAMP NO.1 RH</v>
          </cell>
          <cell r="E574">
            <v>0</v>
          </cell>
          <cell r="F574">
            <v>1</v>
          </cell>
          <cell r="G574">
            <v>0</v>
          </cell>
          <cell r="CI574">
            <v>0</v>
          </cell>
          <cell r="CJ574">
            <v>0.5</v>
          </cell>
          <cell r="CK574">
            <v>0</v>
          </cell>
          <cell r="CW574">
            <v>0</v>
          </cell>
          <cell r="CX574">
            <v>0</v>
          </cell>
          <cell r="DA574">
            <v>0</v>
          </cell>
        </row>
        <row r="575">
          <cell r="A575" t="str">
            <v>GSS</v>
          </cell>
          <cell r="B575" t="str">
            <v>E</v>
          </cell>
          <cell r="C575" t="str">
            <v>52598-761D1</v>
          </cell>
          <cell r="D575" t="str">
            <v>BRACKET FOG LAMP NO.1 LH</v>
          </cell>
          <cell r="E575">
            <v>0</v>
          </cell>
          <cell r="F575">
            <v>1</v>
          </cell>
          <cell r="G575">
            <v>0</v>
          </cell>
          <cell r="CI575">
            <v>0</v>
          </cell>
          <cell r="CJ575">
            <v>0.5</v>
          </cell>
          <cell r="CK575">
            <v>0</v>
          </cell>
          <cell r="CW575">
            <v>0</v>
          </cell>
          <cell r="CX575">
            <v>0</v>
          </cell>
          <cell r="DA575">
            <v>0</v>
          </cell>
        </row>
        <row r="576">
          <cell r="A576" t="str">
            <v>GSS</v>
          </cell>
          <cell r="B576" t="str">
            <v>E</v>
          </cell>
          <cell r="C576" t="str">
            <v>53117-25010</v>
          </cell>
          <cell r="D576" t="str">
            <v>BKT. RADIATOR GRILLE NO. 3</v>
          </cell>
          <cell r="E576">
            <v>1</v>
          </cell>
          <cell r="F576">
            <v>1</v>
          </cell>
          <cell r="G576">
            <v>1</v>
          </cell>
          <cell r="CI576">
            <v>0</v>
          </cell>
          <cell r="CJ576">
            <v>1</v>
          </cell>
          <cell r="CK576">
            <v>0</v>
          </cell>
          <cell r="CW576">
            <v>0</v>
          </cell>
          <cell r="CX576">
            <v>0</v>
          </cell>
          <cell r="DA576">
            <v>0</v>
          </cell>
        </row>
        <row r="577">
          <cell r="A577" t="str">
            <v>GSS</v>
          </cell>
          <cell r="B577" t="str">
            <v>E</v>
          </cell>
          <cell r="C577" t="str">
            <v>53118-25010</v>
          </cell>
          <cell r="D577" t="str">
            <v>BKT. RADIATOR GRILLE NO. 4</v>
          </cell>
          <cell r="E577">
            <v>1</v>
          </cell>
          <cell r="F577">
            <v>1</v>
          </cell>
          <cell r="G577">
            <v>1</v>
          </cell>
          <cell r="CI577">
            <v>0</v>
          </cell>
          <cell r="CJ577">
            <v>1</v>
          </cell>
          <cell r="CK577">
            <v>0</v>
          </cell>
          <cell r="CW577">
            <v>0</v>
          </cell>
          <cell r="CX577">
            <v>0</v>
          </cell>
          <cell r="DA577">
            <v>0</v>
          </cell>
        </row>
        <row r="578">
          <cell r="A578" t="str">
            <v>GSS</v>
          </cell>
          <cell r="B578" t="str">
            <v>E</v>
          </cell>
          <cell r="C578" t="str">
            <v>53145-25010</v>
          </cell>
          <cell r="D578" t="str">
            <v>BKT. RADIATOR GRILLE GARNISH</v>
          </cell>
          <cell r="E578">
            <v>1</v>
          </cell>
          <cell r="F578">
            <v>1</v>
          </cell>
          <cell r="G578">
            <v>1</v>
          </cell>
          <cell r="CI578">
            <v>0</v>
          </cell>
          <cell r="CJ578">
            <v>1</v>
          </cell>
          <cell r="CK578">
            <v>0</v>
          </cell>
          <cell r="CW578">
            <v>0</v>
          </cell>
          <cell r="CX578">
            <v>0</v>
          </cell>
          <cell r="DA578">
            <v>0</v>
          </cell>
        </row>
        <row r="579">
          <cell r="A579" t="str">
            <v>GSS</v>
          </cell>
          <cell r="B579" t="str">
            <v>E60</v>
          </cell>
          <cell r="C579" t="str">
            <v>53717-95010</v>
          </cell>
          <cell r="D579" t="str">
            <v>RETAINER FR APRON</v>
          </cell>
          <cell r="E579">
            <v>2</v>
          </cell>
          <cell r="F579">
            <v>2</v>
          </cell>
          <cell r="G579">
            <v>0</v>
          </cell>
          <cell r="CI579">
            <v>0</v>
          </cell>
          <cell r="CJ579">
            <v>1</v>
          </cell>
          <cell r="CK579">
            <v>0</v>
          </cell>
          <cell r="CW579">
            <v>0</v>
          </cell>
          <cell r="CX579">
            <v>0</v>
          </cell>
          <cell r="DA579">
            <v>0</v>
          </cell>
        </row>
        <row r="580">
          <cell r="A580" t="str">
            <v>GSS</v>
          </cell>
          <cell r="B580" t="str">
            <v>E60</v>
          </cell>
          <cell r="C580" t="str">
            <v>53724-95010</v>
          </cell>
          <cell r="D580" t="str">
            <v>BRACKET LAMP</v>
          </cell>
          <cell r="E580">
            <v>1</v>
          </cell>
          <cell r="F580">
            <v>1</v>
          </cell>
          <cell r="G580">
            <v>1</v>
          </cell>
          <cell r="CI580">
            <v>0</v>
          </cell>
          <cell r="CJ580">
            <v>1</v>
          </cell>
          <cell r="CK580">
            <v>0</v>
          </cell>
          <cell r="CW580">
            <v>0</v>
          </cell>
          <cell r="CX580">
            <v>0</v>
          </cell>
          <cell r="DA580">
            <v>0</v>
          </cell>
        </row>
        <row r="581">
          <cell r="A581" t="str">
            <v>GSS</v>
          </cell>
          <cell r="B581" t="str">
            <v>E60</v>
          </cell>
          <cell r="C581" t="str">
            <v>53727-95010</v>
          </cell>
          <cell r="D581" t="str">
            <v>BRACKET VACUM TUBE</v>
          </cell>
          <cell r="E581">
            <v>1</v>
          </cell>
          <cell r="F581">
            <v>1</v>
          </cell>
          <cell r="G581">
            <v>0</v>
          </cell>
          <cell r="CI581">
            <v>0</v>
          </cell>
          <cell r="CJ581">
            <v>1</v>
          </cell>
          <cell r="CK581">
            <v>0</v>
          </cell>
          <cell r="CW581">
            <v>0</v>
          </cell>
          <cell r="CX581">
            <v>0</v>
          </cell>
          <cell r="DA581">
            <v>0</v>
          </cell>
        </row>
        <row r="582">
          <cell r="A582" t="str">
            <v>GSS</v>
          </cell>
          <cell r="B582" t="str">
            <v>E60</v>
          </cell>
          <cell r="C582" t="str">
            <v>55138-95010</v>
          </cell>
          <cell r="D582" t="str">
            <v>RET PEDAL BRACKET UPR</v>
          </cell>
          <cell r="E582">
            <v>1</v>
          </cell>
          <cell r="F582">
            <v>1</v>
          </cell>
          <cell r="G582">
            <v>1</v>
          </cell>
          <cell r="CI582">
            <v>0</v>
          </cell>
          <cell r="CJ582">
            <v>1</v>
          </cell>
          <cell r="CK582">
            <v>0</v>
          </cell>
          <cell r="CW582">
            <v>0</v>
          </cell>
          <cell r="CX582">
            <v>0</v>
          </cell>
          <cell r="DA582">
            <v>0</v>
          </cell>
        </row>
        <row r="583">
          <cell r="A583" t="str">
            <v>GSS</v>
          </cell>
          <cell r="B583" t="str">
            <v>E60</v>
          </cell>
          <cell r="C583" t="str">
            <v>55139-95010</v>
          </cell>
          <cell r="D583" t="str">
            <v>RET PEDAL BRACKET UPR</v>
          </cell>
          <cell r="E583">
            <v>1</v>
          </cell>
          <cell r="F583">
            <v>1</v>
          </cell>
          <cell r="G583">
            <v>1</v>
          </cell>
          <cell r="CI583">
            <v>0</v>
          </cell>
          <cell r="CJ583">
            <v>1</v>
          </cell>
          <cell r="CK583">
            <v>0</v>
          </cell>
          <cell r="CW583">
            <v>0</v>
          </cell>
          <cell r="CX583">
            <v>0</v>
          </cell>
          <cell r="DA583">
            <v>0</v>
          </cell>
        </row>
        <row r="584">
          <cell r="A584" t="str">
            <v>GSS</v>
          </cell>
          <cell r="B584" t="str">
            <v>E</v>
          </cell>
          <cell r="C584" t="str">
            <v>55331-95010</v>
          </cell>
          <cell r="D584" t="str">
            <v>R/F INST PANEL UPR RH</v>
          </cell>
          <cell r="E584">
            <v>1</v>
          </cell>
          <cell r="F584">
            <v>1</v>
          </cell>
          <cell r="G584">
            <v>0</v>
          </cell>
          <cell r="CI584">
            <v>0</v>
          </cell>
          <cell r="CJ584">
            <v>1</v>
          </cell>
          <cell r="CK584">
            <v>0</v>
          </cell>
          <cell r="CW584">
            <v>0</v>
          </cell>
          <cell r="CX584">
            <v>0</v>
          </cell>
          <cell r="DA584">
            <v>0</v>
          </cell>
        </row>
        <row r="585">
          <cell r="A585" t="str">
            <v>GSS</v>
          </cell>
          <cell r="B585" t="str">
            <v>E</v>
          </cell>
          <cell r="C585" t="str">
            <v>55334-95011</v>
          </cell>
          <cell r="D585" t="str">
            <v>R/F INST PANEL UPR LH</v>
          </cell>
          <cell r="E585">
            <v>1</v>
          </cell>
          <cell r="F585">
            <v>1</v>
          </cell>
          <cell r="G585">
            <v>0</v>
          </cell>
          <cell r="CI585">
            <v>0</v>
          </cell>
          <cell r="CJ585">
            <v>1</v>
          </cell>
          <cell r="CK585">
            <v>0</v>
          </cell>
          <cell r="CW585">
            <v>0</v>
          </cell>
          <cell r="CX585">
            <v>0</v>
          </cell>
          <cell r="DA585">
            <v>0</v>
          </cell>
        </row>
        <row r="586">
          <cell r="A586" t="str">
            <v>GSS</v>
          </cell>
          <cell r="B586" t="str">
            <v>E</v>
          </cell>
          <cell r="C586" t="str">
            <v>55363-95010</v>
          </cell>
          <cell r="D586" t="str">
            <v>RET MTR HOOD UPR</v>
          </cell>
          <cell r="E586">
            <v>1</v>
          </cell>
          <cell r="F586">
            <v>1</v>
          </cell>
          <cell r="G586">
            <v>1</v>
          </cell>
          <cell r="CI586">
            <v>0</v>
          </cell>
          <cell r="CJ586">
            <v>1</v>
          </cell>
          <cell r="CK586">
            <v>0</v>
          </cell>
          <cell r="CW586">
            <v>0</v>
          </cell>
          <cell r="CX586">
            <v>0</v>
          </cell>
          <cell r="DA586">
            <v>0</v>
          </cell>
        </row>
        <row r="588">
          <cell r="CK588">
            <v>23</v>
          </cell>
          <cell r="CW588">
            <v>13800</v>
          </cell>
          <cell r="CX588">
            <v>627.27272727272714</v>
          </cell>
          <cell r="DA588">
            <v>1.9602272727272727</v>
          </cell>
        </row>
        <row r="589">
          <cell r="E589" t="str">
            <v>SG</v>
          </cell>
          <cell r="F589" t="str">
            <v>FF</v>
          </cell>
          <cell r="G589" t="str">
            <v>FF</v>
          </cell>
          <cell r="H589" t="str">
            <v>FL</v>
          </cell>
          <cell r="I589" t="str">
            <v>FM</v>
          </cell>
          <cell r="J589" t="str">
            <v>TOT./</v>
          </cell>
        </row>
        <row r="590">
          <cell r="A590" t="str">
            <v>NO.</v>
          </cell>
          <cell r="C590" t="str">
            <v>PART NO</v>
          </cell>
          <cell r="D590" t="str">
            <v>PART NAME</v>
          </cell>
          <cell r="E590">
            <v>221</v>
          </cell>
          <cell r="F590" t="str">
            <v>172N</v>
          </cell>
          <cell r="G590" t="str">
            <v>173N</v>
          </cell>
          <cell r="H590" t="str">
            <v>176N</v>
          </cell>
          <cell r="I590" t="str">
            <v>226M</v>
          </cell>
          <cell r="J590" t="str">
            <v>Month</v>
          </cell>
        </row>
        <row r="591">
          <cell r="E591">
            <v>0</v>
          </cell>
          <cell r="F591">
            <v>0</v>
          </cell>
          <cell r="G591">
            <v>84</v>
          </cell>
          <cell r="H591">
            <v>24</v>
          </cell>
          <cell r="I591">
            <v>72</v>
          </cell>
          <cell r="J591">
            <v>180</v>
          </cell>
        </row>
        <row r="592">
          <cell r="A592">
            <v>1</v>
          </cell>
          <cell r="C592" t="str">
            <v>55816-1019 D</v>
          </cell>
          <cell r="D592" t="str">
            <v>RAIL ROOF FRONT</v>
          </cell>
          <cell r="E592">
            <v>1</v>
          </cell>
          <cell r="F592">
            <v>1</v>
          </cell>
          <cell r="G592">
            <v>1</v>
          </cell>
          <cell r="H592">
            <v>1</v>
          </cell>
          <cell r="I592">
            <v>1</v>
          </cell>
          <cell r="CI592">
            <v>2</v>
          </cell>
          <cell r="CW592">
            <v>360</v>
          </cell>
          <cell r="CX592">
            <v>16.363636363636363</v>
          </cell>
          <cell r="DA592">
            <v>5.1136363636363633E-2</v>
          </cell>
        </row>
        <row r="594">
          <cell r="C594" t="str">
            <v>LOADING  E =</v>
          </cell>
          <cell r="E594" t="str">
            <v>DOM =</v>
          </cell>
          <cell r="G594">
            <v>7.9700284090909079</v>
          </cell>
          <cell r="H594" t="str">
            <v>PHIL =</v>
          </cell>
          <cell r="J594">
            <v>0.63068181818181812</v>
          </cell>
          <cell r="K594" t="str">
            <v>MAL =</v>
          </cell>
          <cell r="M594">
            <v>0.56818181818181812</v>
          </cell>
          <cell r="N594" t="str">
            <v>TAI=</v>
          </cell>
          <cell r="O594">
            <v>0.52272727272727271</v>
          </cell>
          <cell r="P594" t="str">
            <v>HN=</v>
          </cell>
          <cell r="Q594">
            <v>5.1136363636363633E-2</v>
          </cell>
          <cell r="S594" t="str">
            <v>VIET=</v>
          </cell>
          <cell r="T594">
            <v>0</v>
          </cell>
        </row>
        <row r="595">
          <cell r="C595" t="str">
            <v>TOT.  LOADING  E =</v>
          </cell>
          <cell r="F595">
            <v>10.140482954545453</v>
          </cell>
          <cell r="G595" t="str">
            <v>HOURS/MC</v>
          </cell>
          <cell r="K595" t="str">
            <v>SA =</v>
          </cell>
          <cell r="M595">
            <v>0.11363636363636365</v>
          </cell>
          <cell r="P595" t="str">
            <v>AFC =</v>
          </cell>
          <cell r="Q595">
            <v>0.28409090909090906</v>
          </cell>
        </row>
        <row r="596">
          <cell r="A596" t="str">
            <v>|::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okoh Tri Handoko" id="{BA2DAA29-2BDA-4D84-8923-A42D9CF23B5C}" userId="S::kokoh.handoko@tap-agri.com::5d6942ec-648a-49e6-98c8-e5a7d3f0c2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4-05T05:57:24.33" personId="{BA2DAA29-2BDA-4D84-8923-A42D9CF23B5C}" id="{C7C1A5E1-F3E9-42CF-8886-6E5CA6C2081E}">
    <text>Isi dengan total peserta yang hadir</text>
  </threadedComment>
  <threadedComment ref="B10" dT="2022-04-05T05:57:42.48" personId="{BA2DAA29-2BDA-4D84-8923-A42D9CF23B5C}" id="{734D4870-F1EF-452C-98FF-8F342A2729AD}">
    <text>Siapa yang menyampaikan materi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E10B-436E-424F-A58C-81CFCA8FBC0E}">
  <sheetPr>
    <tabColor theme="0"/>
  </sheetPr>
  <dimension ref="B1:H48"/>
  <sheetViews>
    <sheetView showGridLines="0" topLeftCell="A7" zoomScale="70" zoomScaleNormal="70" workbookViewId="0">
      <selection activeCell="K24" sqref="K24"/>
    </sheetView>
  </sheetViews>
  <sheetFormatPr defaultColWidth="9.1796875" defaultRowHeight="13" x14ac:dyDescent="0.35"/>
  <cols>
    <col min="1" max="1" width="2.81640625" style="273" customWidth="1"/>
    <col min="2" max="2" width="39.453125" style="273" customWidth="1"/>
    <col min="3" max="3" width="25.81640625" style="273" customWidth="1"/>
    <col min="4" max="4" width="18.81640625" style="273" customWidth="1"/>
    <col min="5" max="5" width="41.453125" style="273" customWidth="1"/>
    <col min="6" max="6" width="36.54296875" style="274" customWidth="1"/>
    <col min="7" max="7" width="19.81640625" style="273" customWidth="1"/>
    <col min="8" max="8" width="24" style="273" customWidth="1"/>
    <col min="9" max="9" width="3" style="273" customWidth="1"/>
    <col min="10" max="16384" width="9.1796875" style="273"/>
  </cols>
  <sheetData>
    <row r="1" spans="2:8" ht="13.5" thickBot="1" x14ac:dyDescent="0.4"/>
    <row r="2" spans="2:8" ht="33.75" customHeight="1" x14ac:dyDescent="0.35">
      <c r="B2" s="469"/>
      <c r="C2" s="472"/>
      <c r="D2" s="473"/>
      <c r="E2" s="473"/>
      <c r="F2" s="474"/>
      <c r="G2" s="478"/>
      <c r="H2" s="480"/>
    </row>
    <row r="3" spans="2:8" ht="24" customHeight="1" x14ac:dyDescent="0.35">
      <c r="B3" s="470"/>
      <c r="C3" s="475"/>
      <c r="D3" s="476"/>
      <c r="E3" s="476"/>
      <c r="F3" s="477"/>
      <c r="G3" s="479"/>
      <c r="H3" s="481"/>
    </row>
    <row r="4" spans="2:8" ht="27" customHeight="1" x14ac:dyDescent="0.35">
      <c r="B4" s="470"/>
      <c r="C4" s="475" t="s">
        <v>242</v>
      </c>
      <c r="D4" s="476"/>
      <c r="E4" s="476"/>
      <c r="F4" s="477"/>
      <c r="G4" s="275"/>
      <c r="H4" s="276"/>
    </row>
    <row r="5" spans="2:8" ht="20.25" customHeight="1" thickBot="1" x14ac:dyDescent="0.4">
      <c r="B5" s="471"/>
      <c r="C5" s="482" t="s">
        <v>243</v>
      </c>
      <c r="D5" s="483"/>
      <c r="E5" s="483"/>
      <c r="F5" s="484"/>
      <c r="G5" s="277" t="s">
        <v>244</v>
      </c>
      <c r="H5" s="278" t="s">
        <v>245</v>
      </c>
    </row>
    <row r="6" spans="2:8" ht="23.25" customHeight="1" x14ac:dyDescent="0.35">
      <c r="B6" s="279" t="s">
        <v>246</v>
      </c>
      <c r="C6" s="442" t="s">
        <v>247</v>
      </c>
      <c r="D6" s="442"/>
      <c r="E6" s="442"/>
      <c r="F6" s="443" t="s">
        <v>248</v>
      </c>
      <c r="G6" s="444"/>
      <c r="H6" s="445"/>
    </row>
    <row r="7" spans="2:8" ht="18" customHeight="1" x14ac:dyDescent="0.35">
      <c r="B7" s="446"/>
      <c r="C7" s="449"/>
      <c r="D7" s="450"/>
      <c r="E7" s="451"/>
      <c r="F7" s="280"/>
      <c r="G7" s="281"/>
      <c r="H7" s="282"/>
    </row>
    <row r="8" spans="2:8" ht="18" customHeight="1" x14ac:dyDescent="0.35">
      <c r="B8" s="447"/>
      <c r="C8" s="452"/>
      <c r="D8" s="453"/>
      <c r="E8" s="454"/>
      <c r="F8" s="280"/>
      <c r="G8" s="281"/>
      <c r="H8" s="282"/>
    </row>
    <row r="9" spans="2:8" ht="18" customHeight="1" x14ac:dyDescent="0.35">
      <c r="B9" s="448"/>
      <c r="C9" s="452"/>
      <c r="D9" s="453"/>
      <c r="E9" s="454"/>
      <c r="F9" s="280"/>
      <c r="G9" s="281"/>
      <c r="H9" s="282"/>
    </row>
    <row r="10" spans="2:8" ht="18" customHeight="1" x14ac:dyDescent="0.35">
      <c r="B10" s="283" t="s">
        <v>249</v>
      </c>
      <c r="C10" s="452"/>
      <c r="D10" s="453"/>
      <c r="E10" s="454"/>
      <c r="F10" s="280"/>
      <c r="G10" s="281"/>
      <c r="H10" s="282"/>
    </row>
    <row r="11" spans="2:8" ht="18" customHeight="1" x14ac:dyDescent="0.35">
      <c r="B11" s="458"/>
      <c r="C11" s="452"/>
      <c r="D11" s="453"/>
      <c r="E11" s="454"/>
      <c r="F11" s="280"/>
      <c r="G11" s="281"/>
      <c r="H11" s="282"/>
    </row>
    <row r="12" spans="2:8" ht="18" customHeight="1" x14ac:dyDescent="0.35">
      <c r="B12" s="459"/>
      <c r="C12" s="455"/>
      <c r="D12" s="456"/>
      <c r="E12" s="457"/>
      <c r="F12" s="280"/>
      <c r="G12" s="281"/>
      <c r="H12" s="282"/>
    </row>
    <row r="13" spans="2:8" ht="20.25" customHeight="1" x14ac:dyDescent="0.35">
      <c r="B13" s="460" t="s">
        <v>250</v>
      </c>
      <c r="C13" s="461"/>
      <c r="D13" s="461"/>
      <c r="E13" s="462"/>
      <c r="F13" s="463"/>
      <c r="G13" s="463"/>
      <c r="H13" s="464" t="s">
        <v>251</v>
      </c>
    </row>
    <row r="14" spans="2:8" ht="24" customHeight="1" x14ac:dyDescent="0.35">
      <c r="B14" s="284" t="s">
        <v>252</v>
      </c>
      <c r="C14" s="465" t="s">
        <v>25</v>
      </c>
      <c r="D14" s="466"/>
      <c r="E14" s="285" t="s">
        <v>253</v>
      </c>
      <c r="F14" s="463"/>
      <c r="G14" s="463"/>
      <c r="H14" s="464"/>
    </row>
    <row r="15" spans="2:8" ht="27.75" customHeight="1" x14ac:dyDescent="0.35">
      <c r="B15" s="286" t="s">
        <v>254</v>
      </c>
      <c r="C15" s="467" t="s">
        <v>255</v>
      </c>
      <c r="D15" s="468"/>
      <c r="E15" s="287" t="s">
        <v>256</v>
      </c>
      <c r="F15" s="463"/>
      <c r="G15" s="463"/>
      <c r="H15" s="464"/>
    </row>
    <row r="16" spans="2:8" ht="18.75" customHeight="1" x14ac:dyDescent="0.35">
      <c r="B16" s="435"/>
      <c r="C16" s="437"/>
      <c r="D16" s="438"/>
      <c r="E16" s="438"/>
      <c r="F16" s="288" t="s">
        <v>199</v>
      </c>
      <c r="G16" s="289"/>
      <c r="H16" s="439" t="s">
        <v>257</v>
      </c>
    </row>
    <row r="17" spans="2:8" ht="18.75" customHeight="1" x14ac:dyDescent="0.35">
      <c r="B17" s="436"/>
      <c r="C17" s="432"/>
      <c r="D17" s="431"/>
      <c r="E17" s="431"/>
      <c r="F17" s="290" t="s">
        <v>200</v>
      </c>
      <c r="G17" s="291" t="s">
        <v>258</v>
      </c>
      <c r="H17" s="440"/>
    </row>
    <row r="18" spans="2:8" ht="18.75" customHeight="1" x14ac:dyDescent="0.35">
      <c r="B18" s="436"/>
      <c r="C18" s="432"/>
      <c r="D18" s="431"/>
      <c r="E18" s="431"/>
      <c r="F18" s="290" t="s">
        <v>201</v>
      </c>
      <c r="G18" s="291" t="s">
        <v>259</v>
      </c>
      <c r="H18" s="292" t="s">
        <v>260</v>
      </c>
    </row>
    <row r="19" spans="2:8" ht="18.75" customHeight="1" x14ac:dyDescent="0.35">
      <c r="B19" s="436"/>
      <c r="C19" s="432"/>
      <c r="D19" s="431"/>
      <c r="E19" s="431"/>
      <c r="F19" s="290" t="s">
        <v>202</v>
      </c>
      <c r="G19" s="291" t="s">
        <v>259</v>
      </c>
      <c r="H19" s="441"/>
    </row>
    <row r="20" spans="2:8" ht="18.75" customHeight="1" x14ac:dyDescent="0.35">
      <c r="B20" s="436"/>
      <c r="C20" s="432"/>
      <c r="D20" s="431"/>
      <c r="E20" s="431"/>
      <c r="F20" s="290" t="s">
        <v>203</v>
      </c>
      <c r="G20" s="291" t="s">
        <v>259</v>
      </c>
      <c r="H20" s="441"/>
    </row>
    <row r="21" spans="2:8" ht="18.75" customHeight="1" x14ac:dyDescent="0.35">
      <c r="B21" s="436"/>
      <c r="C21" s="432"/>
      <c r="D21" s="431"/>
      <c r="E21" s="431"/>
      <c r="F21" s="290" t="s">
        <v>204</v>
      </c>
      <c r="G21" s="293"/>
      <c r="H21" s="441"/>
    </row>
    <row r="22" spans="2:8" ht="18.75" customHeight="1" x14ac:dyDescent="0.35">
      <c r="B22" s="294"/>
      <c r="C22" s="432"/>
      <c r="D22" s="431"/>
      <c r="E22" s="431"/>
      <c r="F22" s="295" t="s">
        <v>205</v>
      </c>
      <c r="G22" s="296"/>
      <c r="H22" s="441"/>
    </row>
    <row r="23" spans="2:8" ht="18.75" customHeight="1" x14ac:dyDescent="0.35">
      <c r="B23" s="294"/>
      <c r="C23" s="432"/>
      <c r="D23" s="431"/>
      <c r="E23" s="431"/>
      <c r="F23" s="290" t="s">
        <v>207</v>
      </c>
      <c r="G23" s="291" t="s">
        <v>259</v>
      </c>
      <c r="H23" s="297" t="s">
        <v>261</v>
      </c>
    </row>
    <row r="24" spans="2:8" ht="18.75" customHeight="1" x14ac:dyDescent="0.35">
      <c r="B24" s="294"/>
      <c r="C24" s="432"/>
      <c r="D24" s="431"/>
      <c r="E24" s="298"/>
      <c r="F24" s="290" t="s">
        <v>208</v>
      </c>
      <c r="G24" s="291" t="s">
        <v>259</v>
      </c>
      <c r="H24" s="428"/>
    </row>
    <row r="25" spans="2:8" ht="18.75" customHeight="1" x14ac:dyDescent="0.35">
      <c r="B25" s="294"/>
      <c r="C25" s="432"/>
      <c r="D25" s="431"/>
      <c r="E25" s="431"/>
      <c r="F25" s="295" t="s">
        <v>209</v>
      </c>
      <c r="G25" s="296"/>
      <c r="H25" s="428"/>
    </row>
    <row r="26" spans="2:8" ht="18.75" customHeight="1" x14ac:dyDescent="0.35">
      <c r="B26" s="294"/>
      <c r="C26" s="432"/>
      <c r="D26" s="431"/>
      <c r="E26" s="431"/>
      <c r="F26" s="290" t="s">
        <v>210</v>
      </c>
      <c r="G26" s="291" t="s">
        <v>259</v>
      </c>
      <c r="H26" s="297" t="s">
        <v>262</v>
      </c>
    </row>
    <row r="27" spans="2:8" ht="18.75" customHeight="1" x14ac:dyDescent="0.35">
      <c r="B27" s="294"/>
      <c r="C27" s="432"/>
      <c r="D27" s="431"/>
      <c r="E27" s="298"/>
      <c r="F27" s="290" t="s">
        <v>211</v>
      </c>
      <c r="G27" s="291" t="s">
        <v>259</v>
      </c>
      <c r="H27" s="428"/>
    </row>
    <row r="28" spans="2:8" ht="18.75" customHeight="1" x14ac:dyDescent="0.35">
      <c r="B28" s="294"/>
      <c r="C28" s="432"/>
      <c r="D28" s="431"/>
      <c r="E28" s="431"/>
      <c r="F28" s="295" t="s">
        <v>212</v>
      </c>
      <c r="G28" s="296"/>
      <c r="H28" s="428"/>
    </row>
    <row r="29" spans="2:8" ht="12.75" customHeight="1" x14ac:dyDescent="0.35">
      <c r="B29" s="294"/>
      <c r="C29" s="433"/>
      <c r="D29" s="434"/>
      <c r="E29" s="434"/>
      <c r="F29" s="290" t="s">
        <v>213</v>
      </c>
      <c r="G29" s="291" t="s">
        <v>259</v>
      </c>
      <c r="H29" s="297" t="s">
        <v>263</v>
      </c>
    </row>
    <row r="30" spans="2:8" ht="18.75" customHeight="1" x14ac:dyDescent="0.35">
      <c r="B30" s="421" t="s">
        <v>264</v>
      </c>
      <c r="C30" s="422"/>
      <c r="D30" s="425" t="s">
        <v>265</v>
      </c>
      <c r="E30" s="426"/>
      <c r="F30" s="290" t="s">
        <v>214</v>
      </c>
      <c r="G30" s="291" t="s">
        <v>259</v>
      </c>
      <c r="H30" s="428"/>
    </row>
    <row r="31" spans="2:8" ht="23.25" customHeight="1" x14ac:dyDescent="0.35">
      <c r="B31" s="423"/>
      <c r="C31" s="424"/>
      <c r="D31" s="427"/>
      <c r="E31" s="424"/>
      <c r="F31" s="290" t="s">
        <v>215</v>
      </c>
      <c r="G31" s="291" t="s">
        <v>259</v>
      </c>
      <c r="H31" s="428"/>
    </row>
    <row r="32" spans="2:8" ht="18.75" customHeight="1" x14ac:dyDescent="0.35">
      <c r="B32" s="299"/>
      <c r="C32" s="298"/>
      <c r="D32" s="300"/>
      <c r="E32" s="298"/>
      <c r="F32" s="295" t="s">
        <v>217</v>
      </c>
      <c r="G32" s="301"/>
      <c r="H32" s="297" t="s">
        <v>266</v>
      </c>
    </row>
    <row r="33" spans="2:8" ht="45" customHeight="1" x14ac:dyDescent="0.35">
      <c r="B33" s="299"/>
      <c r="C33" s="298"/>
      <c r="D33" s="300"/>
      <c r="E33" s="298"/>
      <c r="F33" s="429" t="s">
        <v>218</v>
      </c>
      <c r="G33" s="430"/>
      <c r="H33" s="302"/>
    </row>
    <row r="34" spans="2:8" ht="27.75" customHeight="1" x14ac:dyDescent="0.35">
      <c r="B34" s="299"/>
      <c r="C34" s="298"/>
      <c r="D34" s="300"/>
      <c r="E34" s="298"/>
      <c r="F34" s="295" t="s">
        <v>220</v>
      </c>
      <c r="G34" s="303"/>
      <c r="H34" s="297" t="s">
        <v>267</v>
      </c>
    </row>
    <row r="35" spans="2:8" ht="18.75" customHeight="1" x14ac:dyDescent="0.35">
      <c r="B35" s="299"/>
      <c r="C35" s="298"/>
      <c r="D35" s="300"/>
      <c r="E35" s="298"/>
      <c r="F35" s="295" t="s">
        <v>221</v>
      </c>
      <c r="G35" s="303"/>
      <c r="H35" s="297"/>
    </row>
    <row r="36" spans="2:8" ht="18.75" customHeight="1" x14ac:dyDescent="0.35">
      <c r="B36" s="299"/>
      <c r="C36" s="298"/>
      <c r="D36" s="300"/>
      <c r="E36" s="298"/>
      <c r="F36" s="290" t="s">
        <v>222</v>
      </c>
      <c r="G36" s="304" t="s">
        <v>258</v>
      </c>
      <c r="H36" s="305"/>
    </row>
    <row r="37" spans="2:8" ht="18.75" customHeight="1" x14ac:dyDescent="0.35">
      <c r="B37" s="299"/>
      <c r="C37" s="298"/>
      <c r="D37" s="300"/>
      <c r="E37" s="298"/>
      <c r="F37" s="290" t="s">
        <v>223</v>
      </c>
      <c r="G37" s="306"/>
      <c r="H37" s="305"/>
    </row>
    <row r="38" spans="2:8" ht="18.75" customHeight="1" x14ac:dyDescent="0.35">
      <c r="B38" s="299"/>
      <c r="C38" s="298"/>
      <c r="D38" s="300"/>
      <c r="E38" s="298"/>
      <c r="F38" s="290" t="s">
        <v>224</v>
      </c>
      <c r="G38" s="304" t="s">
        <v>259</v>
      </c>
      <c r="H38" s="305"/>
    </row>
    <row r="39" spans="2:8" ht="18.75" customHeight="1" x14ac:dyDescent="0.35">
      <c r="B39" s="299"/>
      <c r="C39" s="298"/>
      <c r="D39" s="300"/>
      <c r="E39" s="298"/>
      <c r="F39" s="295" t="s">
        <v>225</v>
      </c>
      <c r="G39" s="303"/>
      <c r="H39" s="305"/>
    </row>
    <row r="40" spans="2:8" ht="18.75" customHeight="1" x14ac:dyDescent="0.35">
      <c r="B40" s="299"/>
      <c r="C40" s="298"/>
      <c r="D40" s="300"/>
      <c r="E40" s="298"/>
      <c r="F40" s="290" t="s">
        <v>226</v>
      </c>
      <c r="G40" s="304" t="s">
        <v>259</v>
      </c>
      <c r="H40" s="305"/>
    </row>
    <row r="41" spans="2:8" ht="18.75" customHeight="1" x14ac:dyDescent="0.35">
      <c r="B41" s="299"/>
      <c r="C41" s="298"/>
      <c r="D41" s="300"/>
      <c r="E41" s="298"/>
      <c r="F41" s="290" t="s">
        <v>227</v>
      </c>
      <c r="G41" s="304" t="s">
        <v>259</v>
      </c>
      <c r="H41" s="305"/>
    </row>
    <row r="42" spans="2:8" ht="18.75" customHeight="1" x14ac:dyDescent="0.35">
      <c r="B42" s="299"/>
      <c r="C42" s="298"/>
      <c r="D42" s="300"/>
      <c r="E42" s="298"/>
      <c r="F42" s="290" t="s">
        <v>228</v>
      </c>
      <c r="G42" s="304" t="s">
        <v>259</v>
      </c>
      <c r="H42" s="305"/>
    </row>
    <row r="43" spans="2:8" ht="18.75" customHeight="1" x14ac:dyDescent="0.35">
      <c r="B43" s="299"/>
      <c r="C43" s="298"/>
      <c r="D43" s="300"/>
      <c r="E43" s="298"/>
      <c r="F43" s="295" t="s">
        <v>229</v>
      </c>
      <c r="G43" s="303" t="s">
        <v>259</v>
      </c>
      <c r="H43" s="305"/>
    </row>
    <row r="44" spans="2:8" ht="18.75" customHeight="1" x14ac:dyDescent="0.35">
      <c r="B44" s="299"/>
      <c r="C44" s="298"/>
      <c r="D44" s="300"/>
      <c r="E44" s="298"/>
      <c r="F44" s="295" t="s">
        <v>230</v>
      </c>
      <c r="G44" s="307"/>
      <c r="H44" s="305"/>
    </row>
    <row r="45" spans="2:8" ht="18.75" customHeight="1" thickBot="1" x14ac:dyDescent="0.4">
      <c r="B45" s="299"/>
      <c r="C45" s="298"/>
      <c r="D45" s="300"/>
      <c r="E45" s="298"/>
      <c r="F45" s="308" t="s">
        <v>231</v>
      </c>
      <c r="G45" s="309"/>
      <c r="H45" s="305"/>
    </row>
    <row r="46" spans="2:8" ht="18.75" customHeight="1" thickBot="1" x14ac:dyDescent="0.4">
      <c r="B46" s="310"/>
      <c r="C46" s="311"/>
      <c r="D46" s="312"/>
      <c r="E46" s="311"/>
      <c r="F46" s="308"/>
      <c r="G46" s="313"/>
      <c r="H46" s="314"/>
    </row>
    <row r="47" spans="2:8" ht="18.75" customHeight="1" x14ac:dyDescent="0.35">
      <c r="B47" s="315"/>
      <c r="C47" s="315"/>
      <c r="D47" s="315"/>
      <c r="E47" s="315"/>
      <c r="F47" s="316"/>
      <c r="G47" s="317"/>
      <c r="H47" s="318"/>
    </row>
    <row r="48" spans="2:8" ht="8.25" customHeight="1" x14ac:dyDescent="0.35"/>
  </sheetData>
  <sheetProtection formatCells="0" insertColumns="0" insertRows="0" insertHyperlinks="0" deleteColumns="0" deleteRows="0"/>
  <mergeCells count="38">
    <mergeCell ref="B2:B5"/>
    <mergeCell ref="C2:F3"/>
    <mergeCell ref="G2:G3"/>
    <mergeCell ref="H2:H3"/>
    <mergeCell ref="C4:F4"/>
    <mergeCell ref="C5:F5"/>
    <mergeCell ref="B13:E13"/>
    <mergeCell ref="F13:G15"/>
    <mergeCell ref="H13:H15"/>
    <mergeCell ref="C14:D14"/>
    <mergeCell ref="C15:D15"/>
    <mergeCell ref="C6:E6"/>
    <mergeCell ref="F6:H6"/>
    <mergeCell ref="B7:B9"/>
    <mergeCell ref="C7:E12"/>
    <mergeCell ref="B11:B12"/>
    <mergeCell ref="B16:B21"/>
    <mergeCell ref="C16:D17"/>
    <mergeCell ref="E16:E17"/>
    <mergeCell ref="H16:H17"/>
    <mergeCell ref="C18:D19"/>
    <mergeCell ref="E18:E19"/>
    <mergeCell ref="H19:H22"/>
    <mergeCell ref="C20:D21"/>
    <mergeCell ref="E20:E21"/>
    <mergeCell ref="C22:D23"/>
    <mergeCell ref="B30:C31"/>
    <mergeCell ref="D30:E31"/>
    <mergeCell ref="H30:H31"/>
    <mergeCell ref="F33:G33"/>
    <mergeCell ref="E22:E23"/>
    <mergeCell ref="C24:D25"/>
    <mergeCell ref="H24:H25"/>
    <mergeCell ref="E25:E26"/>
    <mergeCell ref="C26:D27"/>
    <mergeCell ref="H27:H28"/>
    <mergeCell ref="C28:D29"/>
    <mergeCell ref="E28:E29"/>
  </mergeCells>
  <printOptions horizontalCentered="1" verticalCentered="1"/>
  <pageMargins left="0" right="0" top="0" bottom="0" header="0.23622047244094491" footer="0.15748031496062992"/>
  <pageSetup paperSize="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9424-A94D-48C8-9676-B5A2E9EF555B}">
  <dimension ref="A1:CO66"/>
  <sheetViews>
    <sheetView showGridLines="0" view="pageBreakPreview" zoomScale="90" zoomScaleNormal="85" zoomScaleSheetLayoutView="90" workbookViewId="0">
      <selection activeCell="AN54" sqref="AN54"/>
    </sheetView>
  </sheetViews>
  <sheetFormatPr defaultColWidth="2.08984375" defaultRowHeight="12.5" x14ac:dyDescent="0.25"/>
  <cols>
    <col min="1" max="22" width="2.08984375" style="18" customWidth="1"/>
    <col min="23" max="25" width="2.453125" style="18" customWidth="1"/>
    <col min="26" max="81" width="2.08984375" style="18" customWidth="1"/>
    <col min="82" max="93" width="2.08984375" style="142" customWidth="1"/>
    <col min="94" max="278" width="2.08984375" style="18"/>
    <col min="279" max="281" width="2.453125" style="18" customWidth="1"/>
    <col min="282" max="534" width="2.08984375" style="18"/>
    <col min="535" max="537" width="2.453125" style="18" customWidth="1"/>
    <col min="538" max="790" width="2.08984375" style="18"/>
    <col min="791" max="793" width="2.453125" style="18" customWidth="1"/>
    <col min="794" max="1046" width="2.08984375" style="18"/>
    <col min="1047" max="1049" width="2.453125" style="18" customWidth="1"/>
    <col min="1050" max="1302" width="2.08984375" style="18"/>
    <col min="1303" max="1305" width="2.453125" style="18" customWidth="1"/>
    <col min="1306" max="1558" width="2.08984375" style="18"/>
    <col min="1559" max="1561" width="2.453125" style="18" customWidth="1"/>
    <col min="1562" max="1814" width="2.08984375" style="18"/>
    <col min="1815" max="1817" width="2.453125" style="18" customWidth="1"/>
    <col min="1818" max="2070" width="2.08984375" style="18"/>
    <col min="2071" max="2073" width="2.453125" style="18" customWidth="1"/>
    <col min="2074" max="2326" width="2.08984375" style="18"/>
    <col min="2327" max="2329" width="2.453125" style="18" customWidth="1"/>
    <col min="2330" max="2582" width="2.08984375" style="18"/>
    <col min="2583" max="2585" width="2.453125" style="18" customWidth="1"/>
    <col min="2586" max="2838" width="2.08984375" style="18"/>
    <col min="2839" max="2841" width="2.453125" style="18" customWidth="1"/>
    <col min="2842" max="3094" width="2.08984375" style="18"/>
    <col min="3095" max="3097" width="2.453125" style="18" customWidth="1"/>
    <col min="3098" max="3350" width="2.08984375" style="18"/>
    <col min="3351" max="3353" width="2.453125" style="18" customWidth="1"/>
    <col min="3354" max="3606" width="2.08984375" style="18"/>
    <col min="3607" max="3609" width="2.453125" style="18" customWidth="1"/>
    <col min="3610" max="3862" width="2.08984375" style="18"/>
    <col min="3863" max="3865" width="2.453125" style="18" customWidth="1"/>
    <col min="3866" max="4118" width="2.08984375" style="18"/>
    <col min="4119" max="4121" width="2.453125" style="18" customWidth="1"/>
    <col min="4122" max="4374" width="2.08984375" style="18"/>
    <col min="4375" max="4377" width="2.453125" style="18" customWidth="1"/>
    <col min="4378" max="4630" width="2.08984375" style="18"/>
    <col min="4631" max="4633" width="2.453125" style="18" customWidth="1"/>
    <col min="4634" max="4886" width="2.08984375" style="18"/>
    <col min="4887" max="4889" width="2.453125" style="18" customWidth="1"/>
    <col min="4890" max="5142" width="2.08984375" style="18"/>
    <col min="5143" max="5145" width="2.453125" style="18" customWidth="1"/>
    <col min="5146" max="5398" width="2.08984375" style="18"/>
    <col min="5399" max="5401" width="2.453125" style="18" customWidth="1"/>
    <col min="5402" max="5654" width="2.08984375" style="18"/>
    <col min="5655" max="5657" width="2.453125" style="18" customWidth="1"/>
    <col min="5658" max="5910" width="2.08984375" style="18"/>
    <col min="5911" max="5913" width="2.453125" style="18" customWidth="1"/>
    <col min="5914" max="6166" width="2.08984375" style="18"/>
    <col min="6167" max="6169" width="2.453125" style="18" customWidth="1"/>
    <col min="6170" max="6422" width="2.08984375" style="18"/>
    <col min="6423" max="6425" width="2.453125" style="18" customWidth="1"/>
    <col min="6426" max="6678" width="2.08984375" style="18"/>
    <col min="6679" max="6681" width="2.453125" style="18" customWidth="1"/>
    <col min="6682" max="6934" width="2.08984375" style="18"/>
    <col min="6935" max="6937" width="2.453125" style="18" customWidth="1"/>
    <col min="6938" max="7190" width="2.08984375" style="18"/>
    <col min="7191" max="7193" width="2.453125" style="18" customWidth="1"/>
    <col min="7194" max="7446" width="2.08984375" style="18"/>
    <col min="7447" max="7449" width="2.453125" style="18" customWidth="1"/>
    <col min="7450" max="7702" width="2.08984375" style="18"/>
    <col min="7703" max="7705" width="2.453125" style="18" customWidth="1"/>
    <col min="7706" max="7958" width="2.08984375" style="18"/>
    <col min="7959" max="7961" width="2.453125" style="18" customWidth="1"/>
    <col min="7962" max="8214" width="2.08984375" style="18"/>
    <col min="8215" max="8217" width="2.453125" style="18" customWidth="1"/>
    <col min="8218" max="8470" width="2.08984375" style="18"/>
    <col min="8471" max="8473" width="2.453125" style="18" customWidth="1"/>
    <col min="8474" max="8726" width="2.08984375" style="18"/>
    <col min="8727" max="8729" width="2.453125" style="18" customWidth="1"/>
    <col min="8730" max="8982" width="2.08984375" style="18"/>
    <col min="8983" max="8985" width="2.453125" style="18" customWidth="1"/>
    <col min="8986" max="9238" width="2.08984375" style="18"/>
    <col min="9239" max="9241" width="2.453125" style="18" customWidth="1"/>
    <col min="9242" max="9494" width="2.08984375" style="18"/>
    <col min="9495" max="9497" width="2.453125" style="18" customWidth="1"/>
    <col min="9498" max="9750" width="2.08984375" style="18"/>
    <col min="9751" max="9753" width="2.453125" style="18" customWidth="1"/>
    <col min="9754" max="10006" width="2.08984375" style="18"/>
    <col min="10007" max="10009" width="2.453125" style="18" customWidth="1"/>
    <col min="10010" max="10262" width="2.08984375" style="18"/>
    <col min="10263" max="10265" width="2.453125" style="18" customWidth="1"/>
    <col min="10266" max="10518" width="2.08984375" style="18"/>
    <col min="10519" max="10521" width="2.453125" style="18" customWidth="1"/>
    <col min="10522" max="10774" width="2.08984375" style="18"/>
    <col min="10775" max="10777" width="2.453125" style="18" customWidth="1"/>
    <col min="10778" max="11030" width="2.08984375" style="18"/>
    <col min="11031" max="11033" width="2.453125" style="18" customWidth="1"/>
    <col min="11034" max="11286" width="2.08984375" style="18"/>
    <col min="11287" max="11289" width="2.453125" style="18" customWidth="1"/>
    <col min="11290" max="11542" width="2.08984375" style="18"/>
    <col min="11543" max="11545" width="2.453125" style="18" customWidth="1"/>
    <col min="11546" max="11798" width="2.08984375" style="18"/>
    <col min="11799" max="11801" width="2.453125" style="18" customWidth="1"/>
    <col min="11802" max="12054" width="2.08984375" style="18"/>
    <col min="12055" max="12057" width="2.453125" style="18" customWidth="1"/>
    <col min="12058" max="12310" width="2.08984375" style="18"/>
    <col min="12311" max="12313" width="2.453125" style="18" customWidth="1"/>
    <col min="12314" max="12566" width="2.08984375" style="18"/>
    <col min="12567" max="12569" width="2.453125" style="18" customWidth="1"/>
    <col min="12570" max="12822" width="2.08984375" style="18"/>
    <col min="12823" max="12825" width="2.453125" style="18" customWidth="1"/>
    <col min="12826" max="13078" width="2.08984375" style="18"/>
    <col min="13079" max="13081" width="2.453125" style="18" customWidth="1"/>
    <col min="13082" max="13334" width="2.08984375" style="18"/>
    <col min="13335" max="13337" width="2.453125" style="18" customWidth="1"/>
    <col min="13338" max="13590" width="2.08984375" style="18"/>
    <col min="13591" max="13593" width="2.453125" style="18" customWidth="1"/>
    <col min="13594" max="13846" width="2.08984375" style="18"/>
    <col min="13847" max="13849" width="2.453125" style="18" customWidth="1"/>
    <col min="13850" max="14102" width="2.08984375" style="18"/>
    <col min="14103" max="14105" width="2.453125" style="18" customWidth="1"/>
    <col min="14106" max="14358" width="2.08984375" style="18"/>
    <col min="14359" max="14361" width="2.453125" style="18" customWidth="1"/>
    <col min="14362" max="14614" width="2.08984375" style="18"/>
    <col min="14615" max="14617" width="2.453125" style="18" customWidth="1"/>
    <col min="14618" max="14870" width="2.08984375" style="18"/>
    <col min="14871" max="14873" width="2.453125" style="18" customWidth="1"/>
    <col min="14874" max="15126" width="2.08984375" style="18"/>
    <col min="15127" max="15129" width="2.453125" style="18" customWidth="1"/>
    <col min="15130" max="15382" width="2.08984375" style="18"/>
    <col min="15383" max="15385" width="2.453125" style="18" customWidth="1"/>
    <col min="15386" max="15638" width="2.08984375" style="18"/>
    <col min="15639" max="15641" width="2.453125" style="18" customWidth="1"/>
    <col min="15642" max="15894" width="2.08984375" style="18"/>
    <col min="15895" max="15897" width="2.453125" style="18" customWidth="1"/>
    <col min="15898" max="16150" width="2.08984375" style="18"/>
    <col min="16151" max="16153" width="2.453125" style="18" customWidth="1"/>
    <col min="16154" max="16384" width="2.08984375" style="18"/>
  </cols>
  <sheetData>
    <row r="1" spans="1:85" s="142" customFormat="1" ht="13" x14ac:dyDescent="0.3">
      <c r="A1" s="139"/>
      <c r="B1" s="140"/>
      <c r="C1" s="140"/>
      <c r="D1" s="140"/>
      <c r="E1" s="140"/>
      <c r="F1" s="140"/>
      <c r="G1" s="141"/>
      <c r="H1" s="492" t="s">
        <v>188</v>
      </c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4"/>
      <c r="BL1" s="495" t="s">
        <v>189</v>
      </c>
      <c r="BM1" s="496"/>
      <c r="BN1" s="496"/>
      <c r="BO1" s="496"/>
      <c r="BP1" s="496" t="s">
        <v>190</v>
      </c>
      <c r="BQ1" s="496"/>
      <c r="BR1" s="496"/>
      <c r="BS1" s="496"/>
      <c r="BT1" s="496"/>
      <c r="BU1" s="496"/>
      <c r="BV1" s="496"/>
      <c r="BW1" s="496"/>
      <c r="BX1" s="496" t="s">
        <v>191</v>
      </c>
      <c r="BY1" s="496"/>
      <c r="BZ1" s="496"/>
      <c r="CA1" s="497"/>
      <c r="CB1" s="18"/>
      <c r="CC1" s="18"/>
    </row>
    <row r="2" spans="1:85" s="142" customFormat="1" ht="12.75" customHeight="1" x14ac:dyDescent="0.25">
      <c r="A2" s="143"/>
      <c r="B2" s="381"/>
      <c r="C2" s="382"/>
      <c r="D2" s="382"/>
      <c r="E2" s="382"/>
      <c r="F2" s="382"/>
      <c r="G2" s="383"/>
      <c r="H2" s="498" t="s">
        <v>152</v>
      </c>
      <c r="I2" s="499"/>
      <c r="J2" s="499"/>
      <c r="K2" s="499"/>
      <c r="L2" s="499"/>
      <c r="M2" s="499"/>
      <c r="N2" s="499"/>
      <c r="O2" s="499"/>
      <c r="P2" s="500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2"/>
      <c r="BL2" s="505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7"/>
      <c r="CB2" s="18"/>
      <c r="CC2" s="18"/>
    </row>
    <row r="3" spans="1:85" s="142" customFormat="1" ht="12.75" customHeight="1" x14ac:dyDescent="0.25">
      <c r="A3" s="143"/>
      <c r="B3" s="384"/>
      <c r="C3" s="18"/>
      <c r="D3" s="18"/>
      <c r="E3" s="18"/>
      <c r="F3" s="18"/>
      <c r="G3" s="144"/>
      <c r="H3" s="503"/>
      <c r="I3" s="501"/>
      <c r="J3" s="501"/>
      <c r="K3" s="501"/>
      <c r="L3" s="501"/>
      <c r="M3" s="501"/>
      <c r="N3" s="501"/>
      <c r="O3" s="501"/>
      <c r="P3" s="504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2"/>
      <c r="BL3" s="505"/>
      <c r="BM3" s="506"/>
      <c r="BN3" s="506"/>
      <c r="BO3" s="506"/>
      <c r="BP3" s="506"/>
      <c r="BQ3" s="506"/>
      <c r="BR3" s="506"/>
      <c r="BS3" s="506"/>
      <c r="BT3" s="506"/>
      <c r="BU3" s="506"/>
      <c r="BV3" s="506"/>
      <c r="BW3" s="506"/>
      <c r="BX3" s="506"/>
      <c r="BY3" s="506"/>
      <c r="BZ3" s="506"/>
      <c r="CA3" s="507"/>
      <c r="CB3" s="18"/>
      <c r="CC3" s="18"/>
    </row>
    <row r="4" spans="1:85" s="142" customFormat="1" ht="13" thickBot="1" x14ac:dyDescent="0.3">
      <c r="A4" s="145"/>
      <c r="B4" s="385"/>
      <c r="C4" s="146"/>
      <c r="D4" s="146"/>
      <c r="E4" s="146"/>
      <c r="F4" s="146"/>
      <c r="G4" s="147"/>
      <c r="H4" s="485" t="s">
        <v>192</v>
      </c>
      <c r="I4" s="486"/>
      <c r="J4" s="486"/>
      <c r="K4" s="486"/>
      <c r="L4" s="486"/>
      <c r="M4" s="486"/>
      <c r="N4" s="486"/>
      <c r="O4" s="486"/>
      <c r="P4" s="487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8"/>
      <c r="BL4" s="489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1"/>
      <c r="CB4" s="18"/>
      <c r="CC4" s="18"/>
    </row>
    <row r="5" spans="1:85" x14ac:dyDescent="0.25">
      <c r="A5" s="139"/>
      <c r="B5" s="391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392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1"/>
    </row>
    <row r="6" spans="1:85" x14ac:dyDescent="0.25">
      <c r="A6" s="143"/>
      <c r="B6" s="384"/>
      <c r="P6" s="367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144"/>
    </row>
    <row r="7" spans="1:85" x14ac:dyDescent="0.25">
      <c r="A7" s="143"/>
      <c r="B7" s="384"/>
      <c r="P7" s="367"/>
      <c r="BO7" s="149"/>
      <c r="BP7" s="149"/>
      <c r="BQ7" s="149"/>
      <c r="BR7" s="149"/>
      <c r="BS7" s="149"/>
      <c r="BT7" s="149"/>
      <c r="BU7" s="149"/>
      <c r="BV7" s="32"/>
      <c r="BW7" s="32"/>
      <c r="BX7" s="32"/>
      <c r="BY7" s="32"/>
      <c r="BZ7" s="32"/>
      <c r="CA7" s="144"/>
    </row>
    <row r="8" spans="1:85" x14ac:dyDescent="0.25">
      <c r="A8" s="143"/>
      <c r="B8" s="384"/>
      <c r="P8" s="367"/>
      <c r="BO8" s="149"/>
      <c r="BP8" s="149"/>
      <c r="BQ8" s="149"/>
      <c r="BR8" s="149"/>
      <c r="BS8" s="149"/>
      <c r="BT8" s="149"/>
      <c r="BU8" s="149"/>
      <c r="BV8" s="150"/>
      <c r="BW8" s="150"/>
      <c r="BX8" s="150"/>
      <c r="BY8" s="150"/>
      <c r="BZ8" s="150"/>
      <c r="CA8" s="144"/>
    </row>
    <row r="9" spans="1:85" x14ac:dyDescent="0.25">
      <c r="A9" s="143"/>
      <c r="B9" s="384"/>
      <c r="P9" s="367"/>
      <c r="BO9" s="150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144"/>
    </row>
    <row r="10" spans="1:85" x14ac:dyDescent="0.25">
      <c r="A10" s="143"/>
      <c r="B10" s="384"/>
      <c r="P10" s="367"/>
      <c r="BO10" s="150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144"/>
    </row>
    <row r="11" spans="1:85" x14ac:dyDescent="0.25">
      <c r="A11" s="143"/>
      <c r="B11" s="384"/>
      <c r="P11" s="367"/>
      <c r="BO11" s="150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144"/>
    </row>
    <row r="12" spans="1:85" x14ac:dyDescent="0.25">
      <c r="A12" s="143"/>
      <c r="B12" s="384"/>
      <c r="P12" s="367"/>
      <c r="BO12" s="150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144"/>
    </row>
    <row r="13" spans="1:85" x14ac:dyDescent="0.25">
      <c r="A13" s="143"/>
      <c r="B13" s="384"/>
      <c r="P13" s="367"/>
      <c r="BO13" s="150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144"/>
      <c r="CD13" s="51"/>
    </row>
    <row r="14" spans="1:85" x14ac:dyDescent="0.25">
      <c r="A14" s="143"/>
      <c r="B14" s="384"/>
      <c r="P14" s="367"/>
      <c r="BO14" s="150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144"/>
      <c r="CD14" s="51"/>
    </row>
    <row r="15" spans="1:85" x14ac:dyDescent="0.25">
      <c r="A15" s="143"/>
      <c r="B15" s="384"/>
      <c r="P15" s="367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144"/>
      <c r="CD15" s="51"/>
    </row>
    <row r="16" spans="1:85" x14ac:dyDescent="0.25">
      <c r="A16" s="143"/>
      <c r="B16" s="384"/>
      <c r="P16" s="367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144"/>
      <c r="CD16" s="51"/>
      <c r="CG16" s="151"/>
    </row>
    <row r="17" spans="1:82" x14ac:dyDescent="0.25">
      <c r="A17" s="143"/>
      <c r="B17" s="384"/>
      <c r="P17" s="367"/>
      <c r="CA17" s="144"/>
      <c r="CD17" s="51"/>
    </row>
    <row r="18" spans="1:82" x14ac:dyDescent="0.25">
      <c r="A18" s="143"/>
      <c r="B18" s="384"/>
      <c r="P18" s="367"/>
      <c r="CA18" s="144"/>
      <c r="CD18" s="51"/>
    </row>
    <row r="19" spans="1:82" x14ac:dyDescent="0.25">
      <c r="A19" s="143"/>
      <c r="B19" s="384"/>
      <c r="P19" s="367"/>
      <c r="CA19" s="144"/>
      <c r="CD19" s="51"/>
    </row>
    <row r="20" spans="1:82" x14ac:dyDescent="0.25">
      <c r="A20" s="143"/>
      <c r="B20" s="384"/>
      <c r="P20" s="367"/>
      <c r="CA20" s="144"/>
      <c r="CD20" s="51"/>
    </row>
    <row r="21" spans="1:82" x14ac:dyDescent="0.25">
      <c r="A21" s="143"/>
      <c r="B21" s="384"/>
      <c r="P21" s="367"/>
      <c r="CA21" s="144"/>
      <c r="CD21" s="51"/>
    </row>
    <row r="22" spans="1:82" x14ac:dyDescent="0.25">
      <c r="A22" s="143"/>
      <c r="B22" s="384"/>
      <c r="P22" s="367"/>
      <c r="CA22" s="144"/>
      <c r="CD22" s="51"/>
    </row>
    <row r="23" spans="1:82" x14ac:dyDescent="0.25">
      <c r="A23" s="143"/>
      <c r="B23" s="384"/>
      <c r="P23" s="367"/>
      <c r="BH23" s="32"/>
      <c r="BI23" s="32"/>
      <c r="BJ23" s="32"/>
      <c r="BK23" s="32"/>
      <c r="BL23" s="32"/>
      <c r="BM23" s="32"/>
      <c r="BN23" s="32"/>
      <c r="CA23" s="144"/>
      <c r="CD23" s="51"/>
    </row>
    <row r="24" spans="1:82" x14ac:dyDescent="0.25">
      <c r="A24" s="143"/>
      <c r="B24" s="384"/>
      <c r="P24" s="367"/>
      <c r="CA24" s="144"/>
      <c r="CD24" s="51"/>
    </row>
    <row r="25" spans="1:82" x14ac:dyDescent="0.25">
      <c r="A25" s="143"/>
      <c r="B25" s="384"/>
      <c r="P25" s="367"/>
      <c r="BH25" s="32"/>
      <c r="BI25" s="32"/>
      <c r="BJ25" s="32"/>
      <c r="BK25" s="32"/>
      <c r="BN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152"/>
      <c r="CD25" s="153"/>
    </row>
    <row r="26" spans="1:82" x14ac:dyDescent="0.25">
      <c r="A26" s="143"/>
      <c r="B26" s="384"/>
      <c r="P26" s="367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152"/>
      <c r="CD26" s="153"/>
    </row>
    <row r="27" spans="1:82" x14ac:dyDescent="0.25">
      <c r="A27" s="143"/>
      <c r="B27" s="384"/>
      <c r="P27" s="367"/>
      <c r="BH27" s="32"/>
      <c r="BI27" s="32"/>
      <c r="BJ27" s="32"/>
      <c r="BK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152"/>
      <c r="CD27" s="153"/>
    </row>
    <row r="28" spans="1:82" x14ac:dyDescent="0.25">
      <c r="A28" s="143"/>
      <c r="B28" s="384"/>
      <c r="P28" s="367"/>
      <c r="BH28" s="32"/>
      <c r="BI28" s="32"/>
      <c r="BJ28" s="32"/>
      <c r="BK28" s="32"/>
      <c r="BR28" s="32"/>
      <c r="BS28" s="32"/>
      <c r="BT28" s="32"/>
      <c r="BU28" s="32"/>
      <c r="BV28" s="32"/>
      <c r="BW28" s="32"/>
      <c r="BX28" s="32"/>
      <c r="BY28" s="32"/>
      <c r="BZ28" s="32"/>
      <c r="CA28" s="152"/>
      <c r="CD28" s="153"/>
    </row>
    <row r="29" spans="1:82" x14ac:dyDescent="0.25">
      <c r="A29" s="143"/>
      <c r="B29" s="384"/>
      <c r="P29" s="367"/>
      <c r="BH29" s="32"/>
      <c r="BI29" s="32"/>
      <c r="BJ29" s="32"/>
      <c r="BK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152"/>
      <c r="CD29" s="153"/>
    </row>
    <row r="30" spans="1:82" x14ac:dyDescent="0.25">
      <c r="A30" s="143"/>
      <c r="B30" s="384"/>
      <c r="P30" s="367"/>
      <c r="BH30" s="32"/>
      <c r="BI30" s="32"/>
      <c r="BJ30" s="32"/>
      <c r="BK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152"/>
      <c r="CD30" s="153"/>
    </row>
    <row r="31" spans="1:82" x14ac:dyDescent="0.25">
      <c r="A31" s="143"/>
      <c r="B31" s="384"/>
      <c r="P31" s="367"/>
      <c r="BH31" s="32"/>
      <c r="BI31" s="32"/>
      <c r="BJ31" s="32"/>
      <c r="BK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152"/>
    </row>
    <row r="32" spans="1:82" x14ac:dyDescent="0.25">
      <c r="A32" s="143"/>
      <c r="B32" s="384"/>
      <c r="P32" s="367"/>
      <c r="BH32" s="32"/>
      <c r="BI32" s="32"/>
      <c r="BJ32" s="32"/>
      <c r="BK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152"/>
    </row>
    <row r="33" spans="1:79" x14ac:dyDescent="0.25">
      <c r="A33" s="143"/>
      <c r="B33" s="384"/>
      <c r="P33" s="367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152"/>
    </row>
    <row r="34" spans="1:79" x14ac:dyDescent="0.25">
      <c r="A34" s="143"/>
      <c r="B34" s="384"/>
      <c r="P34" s="367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152"/>
    </row>
    <row r="35" spans="1:79" x14ac:dyDescent="0.25">
      <c r="A35" s="143"/>
      <c r="B35" s="384"/>
      <c r="P35" s="367"/>
      <c r="BH35" s="32"/>
      <c r="BI35" s="32"/>
      <c r="BJ35" s="32"/>
      <c r="BK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152"/>
    </row>
    <row r="36" spans="1:79" x14ac:dyDescent="0.25">
      <c r="A36" s="143"/>
      <c r="B36" s="384"/>
      <c r="P36" s="367"/>
      <c r="BI36" s="32"/>
      <c r="BJ36" s="32"/>
      <c r="BK36" s="32"/>
      <c r="BL36" s="32"/>
      <c r="BM36" s="32"/>
      <c r="BN36" s="32"/>
      <c r="BO36" s="32"/>
      <c r="BP36" s="32"/>
      <c r="BU36" s="32"/>
      <c r="BV36" s="32"/>
      <c r="BW36" s="32"/>
      <c r="BX36" s="32"/>
      <c r="BY36" s="32"/>
      <c r="BZ36" s="32"/>
      <c r="CA36" s="152"/>
    </row>
    <row r="37" spans="1:79" ht="13" x14ac:dyDescent="0.25">
      <c r="A37" s="143"/>
      <c r="B37" s="384"/>
      <c r="P37" s="367"/>
      <c r="V37" s="150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154"/>
      <c r="AJ37" s="22"/>
      <c r="AK37" s="22"/>
      <c r="AL37" s="22"/>
      <c r="AM37" s="22"/>
      <c r="AN37" s="2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152"/>
    </row>
    <row r="38" spans="1:79" x14ac:dyDescent="0.25">
      <c r="A38" s="155"/>
      <c r="B38" s="384"/>
      <c r="P38" s="367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R38" s="32"/>
      <c r="AV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152"/>
    </row>
    <row r="39" spans="1:79" ht="12.75" customHeight="1" x14ac:dyDescent="0.25">
      <c r="A39" s="156"/>
      <c r="B39" s="39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94"/>
      <c r="Q39" s="32"/>
      <c r="R39" s="32"/>
      <c r="S39" s="32"/>
      <c r="T39" s="32"/>
      <c r="V39" s="32"/>
      <c r="W39" s="149"/>
      <c r="X39" s="149"/>
      <c r="Y39" s="149"/>
      <c r="Z39" s="157"/>
      <c r="AA39" s="157"/>
      <c r="AB39" s="157"/>
      <c r="AC39" s="157"/>
      <c r="AD39" s="157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7"/>
      <c r="AP39" s="157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152"/>
    </row>
    <row r="40" spans="1:79" x14ac:dyDescent="0.25">
      <c r="A40" s="155"/>
      <c r="B40" s="39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94"/>
      <c r="Q40" s="32"/>
      <c r="R40" s="32"/>
      <c r="S40" s="32"/>
      <c r="T40" s="32"/>
      <c r="V40" s="32"/>
      <c r="W40" s="149"/>
      <c r="X40" s="149"/>
      <c r="Y40" s="149"/>
      <c r="Z40" s="157"/>
      <c r="AA40" s="157"/>
      <c r="AB40" s="157"/>
      <c r="AC40" s="157"/>
      <c r="AD40" s="157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7"/>
      <c r="AP40" s="157"/>
      <c r="AV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152"/>
    </row>
    <row r="41" spans="1:79" x14ac:dyDescent="0.25">
      <c r="A41" s="155"/>
      <c r="B41" s="39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94"/>
      <c r="Q41" s="32"/>
      <c r="R41" s="32"/>
      <c r="S41" s="32"/>
      <c r="T41" s="32"/>
      <c r="V41" s="32"/>
      <c r="W41" s="159"/>
      <c r="X41" s="159"/>
      <c r="Y41" s="159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R41" s="161"/>
      <c r="AS41" s="161"/>
      <c r="AT41" s="161"/>
      <c r="AU41" s="161"/>
      <c r="AV41" s="161"/>
      <c r="AW41" s="161"/>
      <c r="AX41" s="161"/>
      <c r="AY41" s="161"/>
      <c r="AZ41" s="161"/>
      <c r="BA41" s="162"/>
      <c r="BB41" s="32"/>
      <c r="BC41" s="32"/>
      <c r="BD41" s="32"/>
      <c r="BE41" s="32"/>
      <c r="BF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152"/>
    </row>
    <row r="42" spans="1:79" x14ac:dyDescent="0.25">
      <c r="A42" s="155"/>
      <c r="B42" s="395"/>
      <c r="C42" s="32"/>
      <c r="D42" s="32"/>
      <c r="E42" s="32"/>
      <c r="F42" s="32"/>
      <c r="H42" s="150"/>
      <c r="I42" s="150"/>
      <c r="J42" s="32"/>
      <c r="K42" s="32"/>
      <c r="L42" s="32"/>
      <c r="M42" s="32"/>
      <c r="N42" s="32"/>
      <c r="O42" s="32"/>
      <c r="P42" s="394"/>
      <c r="Q42" s="32"/>
      <c r="R42" s="32"/>
      <c r="S42" s="32"/>
      <c r="T42" s="32"/>
      <c r="V42" s="32"/>
      <c r="W42" s="159"/>
      <c r="X42" s="159"/>
      <c r="Y42" s="159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BC42" s="32"/>
      <c r="BD42" s="32"/>
      <c r="BE42" s="163"/>
      <c r="BF42" s="163"/>
      <c r="BH42" s="32"/>
      <c r="BI42" s="32"/>
      <c r="BJ42" s="32"/>
      <c r="BK42" s="32"/>
      <c r="BL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152"/>
    </row>
    <row r="43" spans="1:79" x14ac:dyDescent="0.25">
      <c r="A43" s="155"/>
      <c r="B43" s="395"/>
      <c r="C43" s="32"/>
      <c r="D43" s="32"/>
      <c r="E43" s="32"/>
      <c r="F43" s="32"/>
      <c r="H43" s="150"/>
      <c r="I43" s="150"/>
      <c r="J43" s="32"/>
      <c r="K43" s="32"/>
      <c r="L43" s="32"/>
      <c r="M43" s="32"/>
      <c r="N43" s="32"/>
      <c r="O43" s="32"/>
      <c r="P43" s="394"/>
      <c r="Q43" s="32"/>
      <c r="R43" s="32"/>
      <c r="S43" s="32"/>
      <c r="T43" s="32"/>
      <c r="V43" s="32"/>
      <c r="W43" s="159"/>
      <c r="X43" s="159"/>
      <c r="Y43" s="159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BC43" s="32"/>
      <c r="BD43" s="32"/>
      <c r="BE43" s="163"/>
      <c r="BF43" s="163"/>
      <c r="BI43" s="32"/>
      <c r="BJ43" s="32"/>
      <c r="BK43" s="32"/>
      <c r="BL43" s="32"/>
      <c r="BN43" s="32"/>
      <c r="BO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152"/>
    </row>
    <row r="44" spans="1:79" x14ac:dyDescent="0.25">
      <c r="A44" s="155"/>
      <c r="B44" s="395"/>
      <c r="C44" s="32"/>
      <c r="D44" s="32"/>
      <c r="E44" s="32"/>
      <c r="F44" s="32"/>
      <c r="H44" s="150"/>
      <c r="I44" s="150"/>
      <c r="J44" s="32"/>
      <c r="K44" s="32"/>
      <c r="L44" s="32"/>
      <c r="M44" s="32"/>
      <c r="N44" s="32"/>
      <c r="O44" s="32"/>
      <c r="P44" s="394"/>
      <c r="Q44" s="32"/>
      <c r="S44" s="32"/>
      <c r="T44" s="32"/>
      <c r="V44" s="32"/>
      <c r="W44" s="159"/>
      <c r="X44" s="159"/>
      <c r="Y44" s="159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BC44" s="32"/>
      <c r="BD44" s="32"/>
      <c r="BE44" s="163"/>
      <c r="BF44" s="163"/>
      <c r="BH44" s="32"/>
      <c r="BI44" s="32"/>
      <c r="BJ44" s="32"/>
      <c r="BK44" s="32"/>
      <c r="BL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152"/>
    </row>
    <row r="45" spans="1:79" x14ac:dyDescent="0.25">
      <c r="A45" s="155"/>
      <c r="B45" s="395"/>
      <c r="C45" s="32"/>
      <c r="D45" s="32"/>
      <c r="E45" s="32"/>
      <c r="F45" s="32"/>
      <c r="H45" s="150"/>
      <c r="I45" s="150"/>
      <c r="J45" s="32"/>
      <c r="K45" s="32"/>
      <c r="L45" s="32"/>
      <c r="M45" s="32"/>
      <c r="N45" s="32"/>
      <c r="O45" s="32"/>
      <c r="P45" s="394"/>
      <c r="Q45" s="32"/>
      <c r="R45" s="32"/>
      <c r="S45" s="32"/>
      <c r="T45" s="32"/>
      <c r="V45" s="32"/>
      <c r="W45" s="159"/>
      <c r="X45" s="159"/>
      <c r="Y45" s="159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BC45" s="32"/>
      <c r="BD45" s="32"/>
      <c r="BE45" s="163"/>
      <c r="BF45" s="163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152"/>
    </row>
    <row r="46" spans="1:79" x14ac:dyDescent="0.25">
      <c r="A46" s="155"/>
      <c r="B46" s="395"/>
      <c r="C46" s="32"/>
      <c r="D46" s="32"/>
      <c r="E46" s="32"/>
      <c r="F46" s="32"/>
      <c r="H46" s="150"/>
      <c r="I46" s="150"/>
      <c r="J46" s="396"/>
      <c r="K46" s="396"/>
      <c r="L46" s="396"/>
      <c r="M46" s="32"/>
      <c r="N46" s="32"/>
      <c r="O46" s="32"/>
      <c r="P46" s="394"/>
      <c r="Q46" s="32"/>
      <c r="R46" s="32"/>
      <c r="S46" s="32"/>
      <c r="T46" s="32"/>
      <c r="V46" s="32"/>
      <c r="W46" s="159"/>
      <c r="X46" s="159"/>
      <c r="Y46" s="159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BC46" s="32"/>
      <c r="BD46" s="32"/>
      <c r="BE46" s="163"/>
      <c r="BF46" s="163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152"/>
    </row>
    <row r="47" spans="1:79" x14ac:dyDescent="0.25">
      <c r="A47" s="155"/>
      <c r="B47" s="395"/>
      <c r="C47" s="32"/>
      <c r="D47" s="32"/>
      <c r="E47" s="32"/>
      <c r="F47" s="32"/>
      <c r="H47" s="150"/>
      <c r="I47" s="150"/>
      <c r="J47" s="32"/>
      <c r="K47" s="32"/>
      <c r="L47" s="32"/>
      <c r="M47" s="32"/>
      <c r="N47" s="32"/>
      <c r="O47" s="32"/>
      <c r="P47" s="394"/>
      <c r="Q47" s="32"/>
      <c r="R47" s="32"/>
      <c r="S47" s="32"/>
      <c r="T47" s="32"/>
      <c r="V47" s="32"/>
      <c r="W47" s="159"/>
      <c r="X47" s="159"/>
      <c r="Y47" s="159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BC47" s="32"/>
      <c r="BD47" s="32"/>
      <c r="BE47" s="163"/>
      <c r="BF47" s="163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152"/>
    </row>
    <row r="48" spans="1:79" x14ac:dyDescent="0.25">
      <c r="A48" s="155"/>
      <c r="B48" s="395"/>
      <c r="C48" s="32"/>
      <c r="D48" s="32"/>
      <c r="E48" s="32"/>
      <c r="F48" s="32"/>
      <c r="H48" s="150"/>
      <c r="I48" s="150"/>
      <c r="J48" s="32"/>
      <c r="K48" s="32"/>
      <c r="L48" s="32"/>
      <c r="M48" s="32"/>
      <c r="N48" s="32"/>
      <c r="O48" s="32"/>
      <c r="P48" s="394"/>
      <c r="Q48" s="32"/>
      <c r="R48" s="32"/>
      <c r="S48" s="32"/>
      <c r="T48" s="32"/>
      <c r="V48" s="32"/>
      <c r="W48" s="159"/>
      <c r="X48" s="159"/>
      <c r="Y48" s="159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BC48" s="32"/>
      <c r="BD48" s="32"/>
      <c r="BE48" s="163"/>
      <c r="BF48" s="163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152"/>
    </row>
    <row r="49" spans="1:79" x14ac:dyDescent="0.25">
      <c r="A49" s="155"/>
      <c r="B49" s="395"/>
      <c r="C49" s="32"/>
      <c r="D49" s="32"/>
      <c r="E49" s="32"/>
      <c r="F49" s="32"/>
      <c r="H49" s="150"/>
      <c r="I49" s="150"/>
      <c r="J49" s="161"/>
      <c r="K49" s="161"/>
      <c r="L49" s="161"/>
      <c r="M49" s="161"/>
      <c r="N49" s="161"/>
      <c r="O49" s="161"/>
      <c r="P49" s="397"/>
      <c r="Q49" s="161"/>
      <c r="R49" s="32"/>
      <c r="S49" s="32"/>
      <c r="T49" s="32"/>
      <c r="V49" s="32"/>
      <c r="W49" s="159"/>
      <c r="X49" s="159"/>
      <c r="Y49" s="159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BC49" s="32"/>
      <c r="BD49" s="32"/>
      <c r="BE49" s="163"/>
      <c r="BF49" s="163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152"/>
    </row>
    <row r="50" spans="1:79" x14ac:dyDescent="0.25">
      <c r="A50" s="155"/>
      <c r="B50" s="395"/>
      <c r="C50" s="32"/>
      <c r="D50" s="32"/>
      <c r="E50" s="32"/>
      <c r="F50" s="32"/>
      <c r="H50" s="150"/>
      <c r="I50" s="150"/>
      <c r="K50" s="32"/>
      <c r="L50" s="32"/>
      <c r="M50" s="32"/>
      <c r="N50" s="164"/>
      <c r="O50" s="164"/>
      <c r="P50" s="398"/>
      <c r="Q50" s="164"/>
      <c r="R50" s="164"/>
      <c r="S50" s="32"/>
      <c r="T50" s="32"/>
      <c r="W50" s="159"/>
      <c r="X50" s="159"/>
      <c r="Y50" s="159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BC50" s="161"/>
      <c r="BD50" s="161"/>
      <c r="BE50" s="165"/>
      <c r="BF50" s="165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152"/>
    </row>
    <row r="51" spans="1:79" x14ac:dyDescent="0.25">
      <c r="A51" s="155"/>
      <c r="B51" s="393"/>
      <c r="C51" s="32"/>
      <c r="D51" s="32"/>
      <c r="E51" s="32"/>
      <c r="F51" s="32"/>
      <c r="G51" s="32"/>
      <c r="H51" s="32"/>
      <c r="I51" s="32"/>
      <c r="P51" s="367"/>
      <c r="T51" s="32"/>
      <c r="W51" s="159"/>
      <c r="X51" s="159"/>
      <c r="Y51" s="159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S51" s="166"/>
      <c r="AT51" s="166"/>
      <c r="AU51" s="166"/>
      <c r="AV51" s="166"/>
      <c r="AW51" s="166"/>
      <c r="AX51" s="166"/>
      <c r="AY51" s="166"/>
      <c r="AZ51" s="166"/>
      <c r="BA51" s="166"/>
      <c r="BC51" s="32"/>
      <c r="BD51" s="32"/>
      <c r="BE51" s="163"/>
      <c r="BF51" s="163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152"/>
    </row>
    <row r="52" spans="1:79" x14ac:dyDescent="0.25">
      <c r="A52" s="156"/>
      <c r="B52" s="393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94"/>
      <c r="Q52" s="32"/>
      <c r="R52" s="32"/>
      <c r="S52" s="32"/>
      <c r="W52" s="159"/>
      <c r="X52" s="159"/>
      <c r="Y52" s="159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S52" s="166"/>
      <c r="AT52" s="166"/>
      <c r="AU52" s="166"/>
      <c r="AV52" s="166"/>
      <c r="AW52" s="166"/>
      <c r="AX52" s="166"/>
      <c r="AY52" s="166"/>
      <c r="AZ52" s="166"/>
      <c r="BA52" s="166"/>
      <c r="BH52" s="32"/>
      <c r="BI52" s="32"/>
      <c r="BJ52" s="32"/>
      <c r="CA52" s="152"/>
    </row>
    <row r="53" spans="1:79" ht="13" x14ac:dyDescent="0.3">
      <c r="A53" s="155"/>
      <c r="B53" s="393"/>
      <c r="C53" s="32"/>
      <c r="D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94"/>
      <c r="Q53" s="32"/>
      <c r="R53" s="32"/>
      <c r="S53" s="32"/>
      <c r="AR53" s="161"/>
      <c r="AS53" s="167"/>
      <c r="AT53" s="167"/>
      <c r="AU53" s="167"/>
      <c r="AV53" s="167"/>
      <c r="AW53" s="167"/>
      <c r="AX53" s="32"/>
      <c r="BH53" s="32"/>
      <c r="BI53" s="32"/>
      <c r="BJ53" s="32"/>
      <c r="CA53" s="152"/>
    </row>
    <row r="54" spans="1:79" x14ac:dyDescent="0.25">
      <c r="A54" s="143"/>
      <c r="B54" s="399"/>
      <c r="C54" s="32"/>
      <c r="D54" s="150"/>
      <c r="E54" s="150"/>
      <c r="F54" s="150"/>
      <c r="G54" s="32"/>
      <c r="H54" s="32"/>
      <c r="I54" s="150"/>
      <c r="J54" s="150"/>
      <c r="K54" s="150"/>
      <c r="L54" s="150"/>
      <c r="M54" s="150"/>
      <c r="N54" s="150"/>
      <c r="O54" s="150"/>
      <c r="P54" s="400"/>
      <c r="Q54" s="32"/>
      <c r="R54" s="32"/>
      <c r="S54" s="150"/>
      <c r="T54" s="150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32"/>
      <c r="BD54" s="32"/>
      <c r="BE54" s="32"/>
      <c r="BF54" s="32"/>
      <c r="BH54" s="32"/>
      <c r="BI54" s="32"/>
      <c r="BJ54" s="32"/>
      <c r="CA54" s="152"/>
    </row>
    <row r="55" spans="1:79" ht="13" x14ac:dyDescent="0.25">
      <c r="A55" s="143"/>
      <c r="B55" s="399"/>
      <c r="C55" s="401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400"/>
      <c r="Q55" s="154"/>
      <c r="R55" s="149"/>
      <c r="S55" s="150"/>
      <c r="T55" s="150"/>
      <c r="U55" s="22"/>
      <c r="X55" s="154"/>
      <c r="Y55" s="154"/>
      <c r="Z55" s="154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BC55" s="32"/>
      <c r="BD55" s="32"/>
      <c r="BE55" s="168"/>
      <c r="BF55" s="168"/>
      <c r="BH55" s="32"/>
      <c r="BI55" s="32"/>
      <c r="BJ55" s="32"/>
      <c r="CA55" s="152"/>
    </row>
    <row r="56" spans="1:79" ht="12.75" customHeight="1" x14ac:dyDescent="0.25">
      <c r="A56" s="143"/>
      <c r="B56" s="402"/>
      <c r="C56" s="401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400"/>
      <c r="Q56" s="150"/>
      <c r="R56" s="150"/>
      <c r="S56" s="150"/>
      <c r="T56" s="150"/>
      <c r="U56" s="150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32"/>
      <c r="BC56" s="32"/>
      <c r="BD56" s="32"/>
      <c r="BE56" s="168"/>
      <c r="BF56" s="168"/>
      <c r="BH56" s="32"/>
      <c r="BI56" s="32"/>
      <c r="BJ56" s="32"/>
      <c r="CA56" s="152"/>
    </row>
    <row r="57" spans="1:79" ht="12.75" customHeight="1" thickBot="1" x14ac:dyDescent="0.3">
      <c r="A57" s="145"/>
      <c r="B57" s="403"/>
      <c r="C57" s="169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386"/>
      <c r="Q57" s="148"/>
      <c r="R57" s="148"/>
      <c r="S57" s="148"/>
      <c r="T57" s="148"/>
      <c r="U57" s="148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0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70"/>
      <c r="BD57" s="170"/>
      <c r="BE57" s="172"/>
      <c r="BF57" s="172"/>
      <c r="BG57" s="146"/>
      <c r="BH57" s="170"/>
      <c r="BI57" s="170"/>
      <c r="BJ57" s="170"/>
      <c r="BK57" s="146"/>
      <c r="BL57" s="146"/>
      <c r="BM57" s="146"/>
      <c r="BN57" s="146"/>
      <c r="BO57" s="146"/>
      <c r="BP57" s="146"/>
      <c r="BQ57" s="146"/>
      <c r="BR57" s="146"/>
      <c r="BS57" s="146"/>
      <c r="BT57" s="146"/>
      <c r="BU57" s="146"/>
      <c r="BV57" s="146"/>
      <c r="BW57" s="146"/>
      <c r="BX57" s="146"/>
      <c r="BY57" s="146"/>
      <c r="BZ57" s="146"/>
      <c r="CA57" s="173"/>
    </row>
    <row r="58" spans="1:79" ht="12.75" customHeight="1" x14ac:dyDescent="0.25">
      <c r="B58" s="402"/>
      <c r="C58" s="401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400"/>
      <c r="Q58" s="150"/>
      <c r="R58" s="150"/>
      <c r="S58" s="150"/>
      <c r="T58" s="150"/>
      <c r="U58" s="150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32"/>
      <c r="BC58" s="32"/>
      <c r="BD58" s="32"/>
      <c r="BE58" s="168"/>
      <c r="BF58" s="168"/>
      <c r="CA58" s="32"/>
    </row>
    <row r="59" spans="1:79" ht="12.75" customHeight="1" x14ac:dyDescent="0.25">
      <c r="B59" s="402"/>
      <c r="C59" s="401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400"/>
      <c r="Q59" s="150"/>
      <c r="R59" s="150"/>
      <c r="S59" s="150"/>
      <c r="T59" s="150"/>
      <c r="U59" s="150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149"/>
      <c r="AG59" s="50"/>
      <c r="AH59" s="50"/>
      <c r="AI59" s="50"/>
      <c r="AJ59" s="50"/>
      <c r="AK59" s="149"/>
      <c r="AL59" s="149"/>
      <c r="AM59" s="149"/>
      <c r="AN59" s="149"/>
      <c r="AO59" s="149"/>
      <c r="AP59" s="32"/>
      <c r="BC59" s="32"/>
      <c r="BD59" s="32"/>
      <c r="BE59" s="168"/>
      <c r="BF59" s="168"/>
      <c r="BH59" s="32"/>
      <c r="BI59" s="32"/>
      <c r="BJ59" s="32"/>
      <c r="BM59" s="32"/>
      <c r="CA59" s="32"/>
    </row>
    <row r="60" spans="1:79" ht="12.75" customHeight="1" x14ac:dyDescent="0.25">
      <c r="B60" s="404"/>
      <c r="C60" s="405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400"/>
      <c r="Q60" s="150"/>
      <c r="R60" s="150"/>
      <c r="S60" s="150"/>
      <c r="T60" s="150"/>
      <c r="U60" s="150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J60" s="164"/>
      <c r="AK60" s="32"/>
      <c r="AL60" s="32"/>
      <c r="AM60" s="32"/>
      <c r="AN60" s="32"/>
      <c r="AO60" s="32"/>
      <c r="AP60" s="32"/>
      <c r="BC60" s="32"/>
      <c r="BD60" s="32"/>
      <c r="BE60" s="168"/>
      <c r="BF60" s="168"/>
      <c r="CA60" s="32"/>
    </row>
    <row r="61" spans="1:79" ht="12.75" customHeight="1" x14ac:dyDescent="0.25">
      <c r="B61" s="404"/>
      <c r="C61" s="405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400"/>
      <c r="Q61" s="150"/>
      <c r="R61" s="150"/>
      <c r="S61" s="150"/>
      <c r="T61" s="150"/>
      <c r="U61" s="150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BC61" s="32"/>
      <c r="BD61" s="32"/>
      <c r="BE61" s="168"/>
      <c r="BF61" s="168"/>
      <c r="BH61" s="32"/>
      <c r="BI61" s="32"/>
      <c r="BJ61" s="32"/>
      <c r="BK61" s="32"/>
      <c r="BM61" s="32"/>
      <c r="BN61" s="32"/>
      <c r="BO61" s="32"/>
      <c r="BP61" s="32"/>
      <c r="BQ61" s="32"/>
      <c r="BR61" s="32"/>
      <c r="CA61" s="149"/>
    </row>
    <row r="62" spans="1:79" ht="12.75" customHeight="1" x14ac:dyDescent="0.25">
      <c r="B62" s="406"/>
      <c r="C62" s="405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400"/>
      <c r="Q62" s="150"/>
      <c r="R62" s="150"/>
      <c r="S62" s="150"/>
      <c r="T62" s="150"/>
      <c r="U62" s="150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BC62" s="32"/>
      <c r="BD62" s="32"/>
      <c r="BE62" s="168"/>
      <c r="BF62" s="168"/>
      <c r="BH62" s="32"/>
      <c r="BI62" s="32"/>
      <c r="BJ62" s="32"/>
      <c r="BK62" s="32"/>
      <c r="BM62" s="32"/>
      <c r="BN62" s="32"/>
      <c r="BO62" s="32"/>
      <c r="BP62" s="32"/>
      <c r="BQ62" s="32"/>
      <c r="BR62" s="32"/>
      <c r="CA62" s="149"/>
    </row>
    <row r="63" spans="1:79" ht="12.75" customHeight="1" x14ac:dyDescent="0.25">
      <c r="B63" s="406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400"/>
      <c r="Q63" s="150"/>
      <c r="R63" s="150"/>
      <c r="S63" s="150"/>
      <c r="T63" s="150"/>
      <c r="U63" s="150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BC63" s="32"/>
      <c r="BD63" s="32"/>
      <c r="BE63" s="168"/>
      <c r="BF63" s="168"/>
      <c r="BH63" s="32"/>
      <c r="BI63" s="32"/>
      <c r="BJ63" s="32"/>
      <c r="BK63" s="32"/>
      <c r="CA63" s="149"/>
    </row>
    <row r="64" spans="1:79" ht="12.75" customHeight="1" x14ac:dyDescent="0.25">
      <c r="B64" s="384"/>
      <c r="C64" s="407"/>
      <c r="E64" s="164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400"/>
      <c r="Q64" s="150"/>
      <c r="R64" s="150"/>
      <c r="S64" s="150"/>
      <c r="T64" s="150"/>
      <c r="U64" s="150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S64" s="161"/>
      <c r="AT64" s="161"/>
      <c r="AU64" s="161"/>
      <c r="AV64" s="161"/>
      <c r="AW64" s="161"/>
      <c r="AX64" s="161"/>
      <c r="AY64" s="161"/>
      <c r="AZ64" s="161"/>
      <c r="BA64" s="161"/>
      <c r="BC64" s="32"/>
      <c r="BD64" s="32"/>
      <c r="BE64" s="168"/>
      <c r="BF64" s="168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</row>
    <row r="65" spans="2:79" ht="12.75" customHeight="1" x14ac:dyDescent="0.25">
      <c r="B65" s="404"/>
      <c r="C65" s="405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400"/>
      <c r="Q65" s="150"/>
      <c r="R65" s="150"/>
      <c r="S65" s="150"/>
      <c r="T65" s="150"/>
      <c r="U65" s="150"/>
      <c r="V65" s="32"/>
      <c r="W65" s="32"/>
      <c r="AS65" s="154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</row>
    <row r="66" spans="2:79" x14ac:dyDescent="0.25">
      <c r="B66" s="408"/>
      <c r="C66" s="409"/>
      <c r="D66" s="410"/>
      <c r="E66" s="410"/>
      <c r="F66" s="410"/>
      <c r="G66" s="410"/>
      <c r="H66" s="410"/>
      <c r="I66" s="410"/>
      <c r="J66" s="410"/>
      <c r="K66" s="410"/>
      <c r="L66" s="410"/>
      <c r="M66" s="410"/>
      <c r="N66" s="410"/>
      <c r="O66" s="410"/>
      <c r="P66" s="411"/>
      <c r="Q66" s="32"/>
      <c r="R66" s="32"/>
      <c r="S66" s="32"/>
      <c r="T66" s="32"/>
      <c r="U66" s="32"/>
      <c r="V66" s="32"/>
      <c r="W66" s="32"/>
    </row>
  </sheetData>
  <mergeCells count="14">
    <mergeCell ref="H1:BK1"/>
    <mergeCell ref="BL1:BO1"/>
    <mergeCell ref="BP1:BW1"/>
    <mergeCell ref="BX1:CA1"/>
    <mergeCell ref="H2:BK3"/>
    <mergeCell ref="BL2:BO3"/>
    <mergeCell ref="BP2:BS3"/>
    <mergeCell ref="BT2:BW3"/>
    <mergeCell ref="BX2:CA3"/>
    <mergeCell ref="H4:BK4"/>
    <mergeCell ref="BL4:BO4"/>
    <mergeCell ref="BP4:BS4"/>
    <mergeCell ref="BT4:BW4"/>
    <mergeCell ref="BX4:CA4"/>
  </mergeCells>
  <printOptions horizontalCentered="1" verticalCentered="1"/>
  <pageMargins left="0.15" right="0.15" top="0.15" bottom="0.15" header="0.15" footer="0.15"/>
  <pageSetup paperSize="8" scale="102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628E-123F-4AE5-B5E4-E635E123A21D}">
  <dimension ref="A1:CM66"/>
  <sheetViews>
    <sheetView showGridLines="0" topLeftCell="F4" zoomScale="78" zoomScaleNormal="100" zoomScaleSheetLayoutView="70" workbookViewId="0">
      <selection activeCell="AO42" sqref="AO42"/>
    </sheetView>
  </sheetViews>
  <sheetFormatPr defaultColWidth="2.08984375" defaultRowHeight="12.5" x14ac:dyDescent="0.35"/>
  <cols>
    <col min="1" max="1" width="1.08984375" style="50" customWidth="1"/>
    <col min="2" max="29" width="2.08984375" style="50" customWidth="1"/>
    <col min="30" max="31" width="1.08984375" style="50" customWidth="1"/>
    <col min="32" max="40" width="2.08984375" style="50" customWidth="1"/>
    <col min="41" max="41" width="4.81640625" style="50" customWidth="1"/>
    <col min="42" max="71" width="2.08984375" style="50" customWidth="1"/>
    <col min="72" max="72" width="1.08984375" style="50" customWidth="1"/>
    <col min="73" max="73" width="34.81640625" style="50" customWidth="1"/>
    <col min="74" max="79" width="2.08984375" style="50" customWidth="1"/>
    <col min="80" max="80" width="3" style="50" customWidth="1"/>
    <col min="81" max="81" width="2.08984375" style="50" customWidth="1"/>
    <col min="82" max="82" width="3.81640625" style="50" customWidth="1"/>
    <col min="83" max="91" width="2.08984375" style="50" customWidth="1"/>
    <col min="92" max="100" width="2.08984375" style="50"/>
    <col min="101" max="101" width="1.08984375" style="50" customWidth="1"/>
    <col min="102" max="129" width="2.08984375" style="50"/>
    <col min="130" max="131" width="1.08984375" style="50" customWidth="1"/>
    <col min="132" max="140" width="2.08984375" style="50"/>
    <col min="141" max="141" width="4.81640625" style="50" customWidth="1"/>
    <col min="142" max="171" width="2.08984375" style="50"/>
    <col min="172" max="172" width="1.08984375" style="50" customWidth="1"/>
    <col min="173" max="179" width="2.08984375" style="50"/>
    <col min="180" max="180" width="3" style="50" customWidth="1"/>
    <col min="181" max="181" width="2.08984375" style="50"/>
    <col min="182" max="182" width="3.81640625" style="50" customWidth="1"/>
    <col min="183" max="249" width="2.08984375" style="50"/>
    <col min="250" max="266" width="2.453125" style="50" customWidth="1"/>
    <col min="267" max="268" width="2.08984375" style="50"/>
    <col min="269" max="269" width="3.81640625" style="50" customWidth="1"/>
    <col min="270" max="270" width="24.453125" style="50" customWidth="1"/>
    <col min="271" max="271" width="26.08984375" style="50" customWidth="1"/>
    <col min="272" max="272" width="27.453125" style="50" customWidth="1"/>
    <col min="273" max="273" width="29.08984375" style="50" customWidth="1"/>
    <col min="274" max="274" width="13.08984375" style="50" customWidth="1"/>
    <col min="275" max="356" width="2.08984375" style="50"/>
    <col min="357" max="357" width="1.08984375" style="50" customWidth="1"/>
    <col min="358" max="385" width="2.08984375" style="50"/>
    <col min="386" max="387" width="1.08984375" style="50" customWidth="1"/>
    <col min="388" max="396" width="2.08984375" style="50"/>
    <col min="397" max="397" width="4.81640625" style="50" customWidth="1"/>
    <col min="398" max="427" width="2.08984375" style="50"/>
    <col min="428" max="428" width="1.08984375" style="50" customWidth="1"/>
    <col min="429" max="435" width="2.08984375" style="50"/>
    <col min="436" max="436" width="3" style="50" customWidth="1"/>
    <col min="437" max="437" width="2.08984375" style="50"/>
    <col min="438" max="438" width="3.81640625" style="50" customWidth="1"/>
    <col min="439" max="505" width="2.08984375" style="50"/>
    <col min="506" max="522" width="2.453125" style="50" customWidth="1"/>
    <col min="523" max="524" width="2.08984375" style="50"/>
    <col min="525" max="525" width="3.81640625" style="50" customWidth="1"/>
    <col min="526" max="526" width="24.453125" style="50" customWidth="1"/>
    <col min="527" max="527" width="26.08984375" style="50" customWidth="1"/>
    <col min="528" max="528" width="27.453125" style="50" customWidth="1"/>
    <col min="529" max="529" width="29.08984375" style="50" customWidth="1"/>
    <col min="530" max="530" width="13.08984375" style="50" customWidth="1"/>
    <col min="531" max="612" width="2.08984375" style="50"/>
    <col min="613" max="613" width="1.08984375" style="50" customWidth="1"/>
    <col min="614" max="641" width="2.08984375" style="50"/>
    <col min="642" max="643" width="1.08984375" style="50" customWidth="1"/>
    <col min="644" max="652" width="2.08984375" style="50"/>
    <col min="653" max="653" width="4.81640625" style="50" customWidth="1"/>
    <col min="654" max="683" width="2.08984375" style="50"/>
    <col min="684" max="684" width="1.08984375" style="50" customWidth="1"/>
    <col min="685" max="691" width="2.08984375" style="50"/>
    <col min="692" max="692" width="3" style="50" customWidth="1"/>
    <col min="693" max="693" width="2.08984375" style="50"/>
    <col min="694" max="694" width="3.81640625" style="50" customWidth="1"/>
    <col min="695" max="761" width="2.08984375" style="50"/>
    <col min="762" max="778" width="2.453125" style="50" customWidth="1"/>
    <col min="779" max="780" width="2.08984375" style="50"/>
    <col min="781" max="781" width="3.81640625" style="50" customWidth="1"/>
    <col min="782" max="782" width="24.453125" style="50" customWidth="1"/>
    <col min="783" max="783" width="26.08984375" style="50" customWidth="1"/>
    <col min="784" max="784" width="27.453125" style="50" customWidth="1"/>
    <col min="785" max="785" width="29.08984375" style="50" customWidth="1"/>
    <col min="786" max="786" width="13.08984375" style="50" customWidth="1"/>
    <col min="787" max="868" width="2.08984375" style="50"/>
    <col min="869" max="869" width="1.08984375" style="50" customWidth="1"/>
    <col min="870" max="897" width="2.08984375" style="50"/>
    <col min="898" max="899" width="1.08984375" style="50" customWidth="1"/>
    <col min="900" max="908" width="2.08984375" style="50"/>
    <col min="909" max="909" width="4.81640625" style="50" customWidth="1"/>
    <col min="910" max="939" width="2.08984375" style="50"/>
    <col min="940" max="940" width="1.08984375" style="50" customWidth="1"/>
    <col min="941" max="947" width="2.08984375" style="50"/>
    <col min="948" max="948" width="3" style="50" customWidth="1"/>
    <col min="949" max="949" width="2.08984375" style="50"/>
    <col min="950" max="950" width="3.81640625" style="50" customWidth="1"/>
    <col min="951" max="1017" width="2.08984375" style="50"/>
    <col min="1018" max="1034" width="2.453125" style="50" customWidth="1"/>
    <col min="1035" max="1036" width="2.08984375" style="50"/>
    <col min="1037" max="1037" width="3.81640625" style="50" customWidth="1"/>
    <col min="1038" max="1038" width="24.453125" style="50" customWidth="1"/>
    <col min="1039" max="1039" width="26.08984375" style="50" customWidth="1"/>
    <col min="1040" max="1040" width="27.453125" style="50" customWidth="1"/>
    <col min="1041" max="1041" width="29.08984375" style="50" customWidth="1"/>
    <col min="1042" max="1042" width="13.08984375" style="50" customWidth="1"/>
    <col min="1043" max="1124" width="2.08984375" style="50"/>
    <col min="1125" max="1125" width="1.08984375" style="50" customWidth="1"/>
    <col min="1126" max="1153" width="2.08984375" style="50"/>
    <col min="1154" max="1155" width="1.08984375" style="50" customWidth="1"/>
    <col min="1156" max="1164" width="2.08984375" style="50"/>
    <col min="1165" max="1165" width="4.81640625" style="50" customWidth="1"/>
    <col min="1166" max="1195" width="2.08984375" style="50"/>
    <col min="1196" max="1196" width="1.08984375" style="50" customWidth="1"/>
    <col min="1197" max="1203" width="2.08984375" style="50"/>
    <col min="1204" max="1204" width="3" style="50" customWidth="1"/>
    <col min="1205" max="1205" width="2.08984375" style="50"/>
    <col min="1206" max="1206" width="3.81640625" style="50" customWidth="1"/>
    <col min="1207" max="1273" width="2.08984375" style="50"/>
    <col min="1274" max="1290" width="2.453125" style="50" customWidth="1"/>
    <col min="1291" max="1292" width="2.08984375" style="50"/>
    <col min="1293" max="1293" width="3.81640625" style="50" customWidth="1"/>
    <col min="1294" max="1294" width="24.453125" style="50" customWidth="1"/>
    <col min="1295" max="1295" width="26.08984375" style="50" customWidth="1"/>
    <col min="1296" max="1296" width="27.453125" style="50" customWidth="1"/>
    <col min="1297" max="1297" width="29.08984375" style="50" customWidth="1"/>
    <col min="1298" max="1298" width="13.08984375" style="50" customWidth="1"/>
    <col min="1299" max="1380" width="2.08984375" style="50"/>
    <col min="1381" max="1381" width="1.08984375" style="50" customWidth="1"/>
    <col min="1382" max="1409" width="2.08984375" style="50"/>
    <col min="1410" max="1411" width="1.08984375" style="50" customWidth="1"/>
    <col min="1412" max="1420" width="2.08984375" style="50"/>
    <col min="1421" max="1421" width="4.81640625" style="50" customWidth="1"/>
    <col min="1422" max="1451" width="2.08984375" style="50"/>
    <col min="1452" max="1452" width="1.08984375" style="50" customWidth="1"/>
    <col min="1453" max="1459" width="2.08984375" style="50"/>
    <col min="1460" max="1460" width="3" style="50" customWidth="1"/>
    <col min="1461" max="1461" width="2.08984375" style="50"/>
    <col min="1462" max="1462" width="3.81640625" style="50" customWidth="1"/>
    <col min="1463" max="1529" width="2.08984375" style="50"/>
    <col min="1530" max="1546" width="2.453125" style="50" customWidth="1"/>
    <col min="1547" max="1548" width="2.08984375" style="50"/>
    <col min="1549" max="1549" width="3.81640625" style="50" customWidth="1"/>
    <col min="1550" max="1550" width="24.453125" style="50" customWidth="1"/>
    <col min="1551" max="1551" width="26.08984375" style="50" customWidth="1"/>
    <col min="1552" max="1552" width="27.453125" style="50" customWidth="1"/>
    <col min="1553" max="1553" width="29.08984375" style="50" customWidth="1"/>
    <col min="1554" max="1554" width="13.08984375" style="50" customWidth="1"/>
    <col min="1555" max="1636" width="2.08984375" style="50"/>
    <col min="1637" max="1637" width="1.08984375" style="50" customWidth="1"/>
    <col min="1638" max="1665" width="2.08984375" style="50"/>
    <col min="1666" max="1667" width="1.08984375" style="50" customWidth="1"/>
    <col min="1668" max="1676" width="2.08984375" style="50"/>
    <col min="1677" max="1677" width="4.81640625" style="50" customWidth="1"/>
    <col min="1678" max="1707" width="2.08984375" style="50"/>
    <col min="1708" max="1708" width="1.08984375" style="50" customWidth="1"/>
    <col min="1709" max="1715" width="2.08984375" style="50"/>
    <col min="1716" max="1716" width="3" style="50" customWidth="1"/>
    <col min="1717" max="1717" width="2.08984375" style="50"/>
    <col min="1718" max="1718" width="3.81640625" style="50" customWidth="1"/>
    <col min="1719" max="1785" width="2.08984375" style="50"/>
    <col min="1786" max="1802" width="2.453125" style="50" customWidth="1"/>
    <col min="1803" max="1804" width="2.08984375" style="50"/>
    <col min="1805" max="1805" width="3.81640625" style="50" customWidth="1"/>
    <col min="1806" max="1806" width="24.453125" style="50" customWidth="1"/>
    <col min="1807" max="1807" width="26.08984375" style="50" customWidth="1"/>
    <col min="1808" max="1808" width="27.453125" style="50" customWidth="1"/>
    <col min="1809" max="1809" width="29.08984375" style="50" customWidth="1"/>
    <col min="1810" max="1810" width="13.08984375" style="50" customWidth="1"/>
    <col min="1811" max="1892" width="2.08984375" style="50"/>
    <col min="1893" max="1893" width="1.08984375" style="50" customWidth="1"/>
    <col min="1894" max="1921" width="2.08984375" style="50"/>
    <col min="1922" max="1923" width="1.08984375" style="50" customWidth="1"/>
    <col min="1924" max="1932" width="2.08984375" style="50"/>
    <col min="1933" max="1933" width="4.81640625" style="50" customWidth="1"/>
    <col min="1934" max="1963" width="2.08984375" style="50"/>
    <col min="1964" max="1964" width="1.08984375" style="50" customWidth="1"/>
    <col min="1965" max="1971" width="2.08984375" style="50"/>
    <col min="1972" max="1972" width="3" style="50" customWidth="1"/>
    <col min="1973" max="1973" width="2.08984375" style="50"/>
    <col min="1974" max="1974" width="3.81640625" style="50" customWidth="1"/>
    <col min="1975" max="2041" width="2.08984375" style="50"/>
    <col min="2042" max="2058" width="2.453125" style="50" customWidth="1"/>
    <col min="2059" max="2060" width="2.08984375" style="50"/>
    <col min="2061" max="2061" width="3.81640625" style="50" customWidth="1"/>
    <col min="2062" max="2062" width="24.453125" style="50" customWidth="1"/>
    <col min="2063" max="2063" width="26.08984375" style="50" customWidth="1"/>
    <col min="2064" max="2064" width="27.453125" style="50" customWidth="1"/>
    <col min="2065" max="2065" width="29.08984375" style="50" customWidth="1"/>
    <col min="2066" max="2066" width="13.08984375" style="50" customWidth="1"/>
    <col min="2067" max="2148" width="2.08984375" style="50"/>
    <col min="2149" max="2149" width="1.08984375" style="50" customWidth="1"/>
    <col min="2150" max="2177" width="2.08984375" style="50"/>
    <col min="2178" max="2179" width="1.08984375" style="50" customWidth="1"/>
    <col min="2180" max="2188" width="2.08984375" style="50"/>
    <col min="2189" max="2189" width="4.81640625" style="50" customWidth="1"/>
    <col min="2190" max="2219" width="2.08984375" style="50"/>
    <col min="2220" max="2220" width="1.08984375" style="50" customWidth="1"/>
    <col min="2221" max="2227" width="2.08984375" style="50"/>
    <col min="2228" max="2228" width="3" style="50" customWidth="1"/>
    <col min="2229" max="2229" width="2.08984375" style="50"/>
    <col min="2230" max="2230" width="3.81640625" style="50" customWidth="1"/>
    <col min="2231" max="2297" width="2.08984375" style="50"/>
    <col min="2298" max="2314" width="2.453125" style="50" customWidth="1"/>
    <col min="2315" max="2316" width="2.08984375" style="50"/>
    <col min="2317" max="2317" width="3.81640625" style="50" customWidth="1"/>
    <col min="2318" max="2318" width="24.453125" style="50" customWidth="1"/>
    <col min="2319" max="2319" width="26.08984375" style="50" customWidth="1"/>
    <col min="2320" max="2320" width="27.453125" style="50" customWidth="1"/>
    <col min="2321" max="2321" width="29.08984375" style="50" customWidth="1"/>
    <col min="2322" max="2322" width="13.08984375" style="50" customWidth="1"/>
    <col min="2323" max="2404" width="2.08984375" style="50"/>
    <col min="2405" max="2405" width="1.08984375" style="50" customWidth="1"/>
    <col min="2406" max="2433" width="2.08984375" style="50"/>
    <col min="2434" max="2435" width="1.08984375" style="50" customWidth="1"/>
    <col min="2436" max="2444" width="2.08984375" style="50"/>
    <col min="2445" max="2445" width="4.81640625" style="50" customWidth="1"/>
    <col min="2446" max="2475" width="2.08984375" style="50"/>
    <col min="2476" max="2476" width="1.08984375" style="50" customWidth="1"/>
    <col min="2477" max="2483" width="2.08984375" style="50"/>
    <col min="2484" max="2484" width="3" style="50" customWidth="1"/>
    <col min="2485" max="2485" width="2.08984375" style="50"/>
    <col min="2486" max="2486" width="3.81640625" style="50" customWidth="1"/>
    <col min="2487" max="2553" width="2.08984375" style="50"/>
    <col min="2554" max="2570" width="2.453125" style="50" customWidth="1"/>
    <col min="2571" max="2572" width="2.08984375" style="50"/>
    <col min="2573" max="2573" width="3.81640625" style="50" customWidth="1"/>
    <col min="2574" max="2574" width="24.453125" style="50" customWidth="1"/>
    <col min="2575" max="2575" width="26.08984375" style="50" customWidth="1"/>
    <col min="2576" max="2576" width="27.453125" style="50" customWidth="1"/>
    <col min="2577" max="2577" width="29.08984375" style="50" customWidth="1"/>
    <col min="2578" max="2578" width="13.08984375" style="50" customWidth="1"/>
    <col min="2579" max="2660" width="2.08984375" style="50"/>
    <col min="2661" max="2661" width="1.08984375" style="50" customWidth="1"/>
    <col min="2662" max="2689" width="2.08984375" style="50"/>
    <col min="2690" max="2691" width="1.08984375" style="50" customWidth="1"/>
    <col min="2692" max="2700" width="2.08984375" style="50"/>
    <col min="2701" max="2701" width="4.81640625" style="50" customWidth="1"/>
    <col min="2702" max="2731" width="2.08984375" style="50"/>
    <col min="2732" max="2732" width="1.08984375" style="50" customWidth="1"/>
    <col min="2733" max="2739" width="2.08984375" style="50"/>
    <col min="2740" max="2740" width="3" style="50" customWidth="1"/>
    <col min="2741" max="2741" width="2.08984375" style="50"/>
    <col min="2742" max="2742" width="3.81640625" style="50" customWidth="1"/>
    <col min="2743" max="2809" width="2.08984375" style="50"/>
    <col min="2810" max="2826" width="2.453125" style="50" customWidth="1"/>
    <col min="2827" max="2828" width="2.08984375" style="50"/>
    <col min="2829" max="2829" width="3.81640625" style="50" customWidth="1"/>
    <col min="2830" max="2830" width="24.453125" style="50" customWidth="1"/>
    <col min="2831" max="2831" width="26.08984375" style="50" customWidth="1"/>
    <col min="2832" max="2832" width="27.453125" style="50" customWidth="1"/>
    <col min="2833" max="2833" width="29.08984375" style="50" customWidth="1"/>
    <col min="2834" max="2834" width="13.08984375" style="50" customWidth="1"/>
    <col min="2835" max="2916" width="2.08984375" style="50"/>
    <col min="2917" max="2917" width="1.08984375" style="50" customWidth="1"/>
    <col min="2918" max="2945" width="2.08984375" style="50"/>
    <col min="2946" max="2947" width="1.08984375" style="50" customWidth="1"/>
    <col min="2948" max="2956" width="2.08984375" style="50"/>
    <col min="2957" max="2957" width="4.81640625" style="50" customWidth="1"/>
    <col min="2958" max="2987" width="2.08984375" style="50"/>
    <col min="2988" max="2988" width="1.08984375" style="50" customWidth="1"/>
    <col min="2989" max="2995" width="2.08984375" style="50"/>
    <col min="2996" max="2996" width="3" style="50" customWidth="1"/>
    <col min="2997" max="2997" width="2.08984375" style="50"/>
    <col min="2998" max="2998" width="3.81640625" style="50" customWidth="1"/>
    <col min="2999" max="3065" width="2.08984375" style="50"/>
    <col min="3066" max="3082" width="2.453125" style="50" customWidth="1"/>
    <col min="3083" max="3084" width="2.08984375" style="50"/>
    <col min="3085" max="3085" width="3.81640625" style="50" customWidth="1"/>
    <col min="3086" max="3086" width="24.453125" style="50" customWidth="1"/>
    <col min="3087" max="3087" width="26.08984375" style="50" customWidth="1"/>
    <col min="3088" max="3088" width="27.453125" style="50" customWidth="1"/>
    <col min="3089" max="3089" width="29.08984375" style="50" customWidth="1"/>
    <col min="3090" max="3090" width="13.08984375" style="50" customWidth="1"/>
    <col min="3091" max="3172" width="2.08984375" style="50"/>
    <col min="3173" max="3173" width="1.08984375" style="50" customWidth="1"/>
    <col min="3174" max="3201" width="2.08984375" style="50"/>
    <col min="3202" max="3203" width="1.08984375" style="50" customWidth="1"/>
    <col min="3204" max="3212" width="2.08984375" style="50"/>
    <col min="3213" max="3213" width="4.81640625" style="50" customWidth="1"/>
    <col min="3214" max="3243" width="2.08984375" style="50"/>
    <col min="3244" max="3244" width="1.08984375" style="50" customWidth="1"/>
    <col min="3245" max="3251" width="2.08984375" style="50"/>
    <col min="3252" max="3252" width="3" style="50" customWidth="1"/>
    <col min="3253" max="3253" width="2.08984375" style="50"/>
    <col min="3254" max="3254" width="3.81640625" style="50" customWidth="1"/>
    <col min="3255" max="3321" width="2.08984375" style="50"/>
    <col min="3322" max="3338" width="2.453125" style="50" customWidth="1"/>
    <col min="3339" max="3340" width="2.08984375" style="50"/>
    <col min="3341" max="3341" width="3.81640625" style="50" customWidth="1"/>
    <col min="3342" max="3342" width="24.453125" style="50" customWidth="1"/>
    <col min="3343" max="3343" width="26.08984375" style="50" customWidth="1"/>
    <col min="3344" max="3344" width="27.453125" style="50" customWidth="1"/>
    <col min="3345" max="3345" width="29.08984375" style="50" customWidth="1"/>
    <col min="3346" max="3346" width="13.08984375" style="50" customWidth="1"/>
    <col min="3347" max="3428" width="2.08984375" style="50"/>
    <col min="3429" max="3429" width="1.08984375" style="50" customWidth="1"/>
    <col min="3430" max="3457" width="2.08984375" style="50"/>
    <col min="3458" max="3459" width="1.08984375" style="50" customWidth="1"/>
    <col min="3460" max="3468" width="2.08984375" style="50"/>
    <col min="3469" max="3469" width="4.81640625" style="50" customWidth="1"/>
    <col min="3470" max="3499" width="2.08984375" style="50"/>
    <col min="3500" max="3500" width="1.08984375" style="50" customWidth="1"/>
    <col min="3501" max="3507" width="2.08984375" style="50"/>
    <col min="3508" max="3508" width="3" style="50" customWidth="1"/>
    <col min="3509" max="3509" width="2.08984375" style="50"/>
    <col min="3510" max="3510" width="3.81640625" style="50" customWidth="1"/>
    <col min="3511" max="3577" width="2.08984375" style="50"/>
    <col min="3578" max="3594" width="2.453125" style="50" customWidth="1"/>
    <col min="3595" max="3596" width="2.08984375" style="50"/>
    <col min="3597" max="3597" width="3.81640625" style="50" customWidth="1"/>
    <col min="3598" max="3598" width="24.453125" style="50" customWidth="1"/>
    <col min="3599" max="3599" width="26.08984375" style="50" customWidth="1"/>
    <col min="3600" max="3600" width="27.453125" style="50" customWidth="1"/>
    <col min="3601" max="3601" width="29.08984375" style="50" customWidth="1"/>
    <col min="3602" max="3602" width="13.08984375" style="50" customWidth="1"/>
    <col min="3603" max="3684" width="2.08984375" style="50"/>
    <col min="3685" max="3685" width="1.08984375" style="50" customWidth="1"/>
    <col min="3686" max="3713" width="2.08984375" style="50"/>
    <col min="3714" max="3715" width="1.08984375" style="50" customWidth="1"/>
    <col min="3716" max="3724" width="2.08984375" style="50"/>
    <col min="3725" max="3725" width="4.81640625" style="50" customWidth="1"/>
    <col min="3726" max="3755" width="2.08984375" style="50"/>
    <col min="3756" max="3756" width="1.08984375" style="50" customWidth="1"/>
    <col min="3757" max="3763" width="2.08984375" style="50"/>
    <col min="3764" max="3764" width="3" style="50" customWidth="1"/>
    <col min="3765" max="3765" width="2.08984375" style="50"/>
    <col min="3766" max="3766" width="3.81640625" style="50" customWidth="1"/>
    <col min="3767" max="3833" width="2.08984375" style="50"/>
    <col min="3834" max="3850" width="2.453125" style="50" customWidth="1"/>
    <col min="3851" max="3852" width="2.08984375" style="50"/>
    <col min="3853" max="3853" width="3.81640625" style="50" customWidth="1"/>
    <col min="3854" max="3854" width="24.453125" style="50" customWidth="1"/>
    <col min="3855" max="3855" width="26.08984375" style="50" customWidth="1"/>
    <col min="3856" max="3856" width="27.453125" style="50" customWidth="1"/>
    <col min="3857" max="3857" width="29.08984375" style="50" customWidth="1"/>
    <col min="3858" max="3858" width="13.08984375" style="50" customWidth="1"/>
    <col min="3859" max="3940" width="2.08984375" style="50"/>
    <col min="3941" max="3941" width="1.08984375" style="50" customWidth="1"/>
    <col min="3942" max="3969" width="2.08984375" style="50"/>
    <col min="3970" max="3971" width="1.08984375" style="50" customWidth="1"/>
    <col min="3972" max="3980" width="2.08984375" style="50"/>
    <col min="3981" max="3981" width="4.81640625" style="50" customWidth="1"/>
    <col min="3982" max="4011" width="2.08984375" style="50"/>
    <col min="4012" max="4012" width="1.08984375" style="50" customWidth="1"/>
    <col min="4013" max="4019" width="2.08984375" style="50"/>
    <col min="4020" max="4020" width="3" style="50" customWidth="1"/>
    <col min="4021" max="4021" width="2.08984375" style="50"/>
    <col min="4022" max="4022" width="3.81640625" style="50" customWidth="1"/>
    <col min="4023" max="4089" width="2.08984375" style="50"/>
    <col min="4090" max="4106" width="2.453125" style="50" customWidth="1"/>
    <col min="4107" max="4108" width="2.08984375" style="50"/>
    <col min="4109" max="4109" width="3.81640625" style="50" customWidth="1"/>
    <col min="4110" max="4110" width="24.453125" style="50" customWidth="1"/>
    <col min="4111" max="4111" width="26.08984375" style="50" customWidth="1"/>
    <col min="4112" max="4112" width="27.453125" style="50" customWidth="1"/>
    <col min="4113" max="4113" width="29.08984375" style="50" customWidth="1"/>
    <col min="4114" max="4114" width="13.08984375" style="50" customWidth="1"/>
    <col min="4115" max="4196" width="2.08984375" style="50"/>
    <col min="4197" max="4197" width="1.08984375" style="50" customWidth="1"/>
    <col min="4198" max="4225" width="2.08984375" style="50"/>
    <col min="4226" max="4227" width="1.08984375" style="50" customWidth="1"/>
    <col min="4228" max="4236" width="2.08984375" style="50"/>
    <col min="4237" max="4237" width="4.81640625" style="50" customWidth="1"/>
    <col min="4238" max="4267" width="2.08984375" style="50"/>
    <col min="4268" max="4268" width="1.08984375" style="50" customWidth="1"/>
    <col min="4269" max="4275" width="2.08984375" style="50"/>
    <col min="4276" max="4276" width="3" style="50" customWidth="1"/>
    <col min="4277" max="4277" width="2.08984375" style="50"/>
    <col min="4278" max="4278" width="3.81640625" style="50" customWidth="1"/>
    <col min="4279" max="4345" width="2.08984375" style="50"/>
    <col min="4346" max="4362" width="2.453125" style="50" customWidth="1"/>
    <col min="4363" max="4364" width="2.08984375" style="50"/>
    <col min="4365" max="4365" width="3.81640625" style="50" customWidth="1"/>
    <col min="4366" max="4366" width="24.453125" style="50" customWidth="1"/>
    <col min="4367" max="4367" width="26.08984375" style="50" customWidth="1"/>
    <col min="4368" max="4368" width="27.453125" style="50" customWidth="1"/>
    <col min="4369" max="4369" width="29.08984375" style="50" customWidth="1"/>
    <col min="4370" max="4370" width="13.08984375" style="50" customWidth="1"/>
    <col min="4371" max="4452" width="2.08984375" style="50"/>
    <col min="4453" max="4453" width="1.08984375" style="50" customWidth="1"/>
    <col min="4454" max="4481" width="2.08984375" style="50"/>
    <col min="4482" max="4483" width="1.08984375" style="50" customWidth="1"/>
    <col min="4484" max="4492" width="2.08984375" style="50"/>
    <col min="4493" max="4493" width="4.81640625" style="50" customWidth="1"/>
    <col min="4494" max="4523" width="2.08984375" style="50"/>
    <col min="4524" max="4524" width="1.08984375" style="50" customWidth="1"/>
    <col min="4525" max="4531" width="2.08984375" style="50"/>
    <col min="4532" max="4532" width="3" style="50" customWidth="1"/>
    <col min="4533" max="4533" width="2.08984375" style="50"/>
    <col min="4534" max="4534" width="3.81640625" style="50" customWidth="1"/>
    <col min="4535" max="4601" width="2.08984375" style="50"/>
    <col min="4602" max="4618" width="2.453125" style="50" customWidth="1"/>
    <col min="4619" max="4620" width="2.08984375" style="50"/>
    <col min="4621" max="4621" width="3.81640625" style="50" customWidth="1"/>
    <col min="4622" max="4622" width="24.453125" style="50" customWidth="1"/>
    <col min="4623" max="4623" width="26.08984375" style="50" customWidth="1"/>
    <col min="4624" max="4624" width="27.453125" style="50" customWidth="1"/>
    <col min="4625" max="4625" width="29.08984375" style="50" customWidth="1"/>
    <col min="4626" max="4626" width="13.08984375" style="50" customWidth="1"/>
    <col min="4627" max="4708" width="2.08984375" style="50"/>
    <col min="4709" max="4709" width="1.08984375" style="50" customWidth="1"/>
    <col min="4710" max="4737" width="2.08984375" style="50"/>
    <col min="4738" max="4739" width="1.08984375" style="50" customWidth="1"/>
    <col min="4740" max="4748" width="2.08984375" style="50"/>
    <col min="4749" max="4749" width="4.81640625" style="50" customWidth="1"/>
    <col min="4750" max="4779" width="2.08984375" style="50"/>
    <col min="4780" max="4780" width="1.08984375" style="50" customWidth="1"/>
    <col min="4781" max="4787" width="2.08984375" style="50"/>
    <col min="4788" max="4788" width="3" style="50" customWidth="1"/>
    <col min="4789" max="4789" width="2.08984375" style="50"/>
    <col min="4790" max="4790" width="3.81640625" style="50" customWidth="1"/>
    <col min="4791" max="4857" width="2.08984375" style="50"/>
    <col min="4858" max="4874" width="2.453125" style="50" customWidth="1"/>
    <col min="4875" max="4876" width="2.08984375" style="50"/>
    <col min="4877" max="4877" width="3.81640625" style="50" customWidth="1"/>
    <col min="4878" max="4878" width="24.453125" style="50" customWidth="1"/>
    <col min="4879" max="4879" width="26.08984375" style="50" customWidth="1"/>
    <col min="4880" max="4880" width="27.453125" style="50" customWidth="1"/>
    <col min="4881" max="4881" width="29.08984375" style="50" customWidth="1"/>
    <col min="4882" max="4882" width="13.08984375" style="50" customWidth="1"/>
    <col min="4883" max="4964" width="2.08984375" style="50"/>
    <col min="4965" max="4965" width="1.08984375" style="50" customWidth="1"/>
    <col min="4966" max="4993" width="2.08984375" style="50"/>
    <col min="4994" max="4995" width="1.08984375" style="50" customWidth="1"/>
    <col min="4996" max="5004" width="2.08984375" style="50"/>
    <col min="5005" max="5005" width="4.81640625" style="50" customWidth="1"/>
    <col min="5006" max="5035" width="2.08984375" style="50"/>
    <col min="5036" max="5036" width="1.08984375" style="50" customWidth="1"/>
    <col min="5037" max="5043" width="2.08984375" style="50"/>
    <col min="5044" max="5044" width="3" style="50" customWidth="1"/>
    <col min="5045" max="5045" width="2.08984375" style="50"/>
    <col min="5046" max="5046" width="3.81640625" style="50" customWidth="1"/>
    <col min="5047" max="5113" width="2.08984375" style="50"/>
    <col min="5114" max="5130" width="2.453125" style="50" customWidth="1"/>
    <col min="5131" max="5132" width="2.08984375" style="50"/>
    <col min="5133" max="5133" width="3.81640625" style="50" customWidth="1"/>
    <col min="5134" max="5134" width="24.453125" style="50" customWidth="1"/>
    <col min="5135" max="5135" width="26.08984375" style="50" customWidth="1"/>
    <col min="5136" max="5136" width="27.453125" style="50" customWidth="1"/>
    <col min="5137" max="5137" width="29.08984375" style="50" customWidth="1"/>
    <col min="5138" max="5138" width="13.08984375" style="50" customWidth="1"/>
    <col min="5139" max="5220" width="2.08984375" style="50"/>
    <col min="5221" max="5221" width="1.08984375" style="50" customWidth="1"/>
    <col min="5222" max="5249" width="2.08984375" style="50"/>
    <col min="5250" max="5251" width="1.08984375" style="50" customWidth="1"/>
    <col min="5252" max="5260" width="2.08984375" style="50"/>
    <col min="5261" max="5261" width="4.81640625" style="50" customWidth="1"/>
    <col min="5262" max="5291" width="2.08984375" style="50"/>
    <col min="5292" max="5292" width="1.08984375" style="50" customWidth="1"/>
    <col min="5293" max="5299" width="2.08984375" style="50"/>
    <col min="5300" max="5300" width="3" style="50" customWidth="1"/>
    <col min="5301" max="5301" width="2.08984375" style="50"/>
    <col min="5302" max="5302" width="3.81640625" style="50" customWidth="1"/>
    <col min="5303" max="5369" width="2.08984375" style="50"/>
    <col min="5370" max="5386" width="2.453125" style="50" customWidth="1"/>
    <col min="5387" max="5388" width="2.08984375" style="50"/>
    <col min="5389" max="5389" width="3.81640625" style="50" customWidth="1"/>
    <col min="5390" max="5390" width="24.453125" style="50" customWidth="1"/>
    <col min="5391" max="5391" width="26.08984375" style="50" customWidth="1"/>
    <col min="5392" max="5392" width="27.453125" style="50" customWidth="1"/>
    <col min="5393" max="5393" width="29.08984375" style="50" customWidth="1"/>
    <col min="5394" max="5394" width="13.08984375" style="50" customWidth="1"/>
    <col min="5395" max="5476" width="2.08984375" style="50"/>
    <col min="5477" max="5477" width="1.08984375" style="50" customWidth="1"/>
    <col min="5478" max="5505" width="2.08984375" style="50"/>
    <col min="5506" max="5507" width="1.08984375" style="50" customWidth="1"/>
    <col min="5508" max="5516" width="2.08984375" style="50"/>
    <col min="5517" max="5517" width="4.81640625" style="50" customWidth="1"/>
    <col min="5518" max="5547" width="2.08984375" style="50"/>
    <col min="5548" max="5548" width="1.08984375" style="50" customWidth="1"/>
    <col min="5549" max="5555" width="2.08984375" style="50"/>
    <col min="5556" max="5556" width="3" style="50" customWidth="1"/>
    <col min="5557" max="5557" width="2.08984375" style="50"/>
    <col min="5558" max="5558" width="3.81640625" style="50" customWidth="1"/>
    <col min="5559" max="5625" width="2.08984375" style="50"/>
    <col min="5626" max="5642" width="2.453125" style="50" customWidth="1"/>
    <col min="5643" max="5644" width="2.08984375" style="50"/>
    <col min="5645" max="5645" width="3.81640625" style="50" customWidth="1"/>
    <col min="5646" max="5646" width="24.453125" style="50" customWidth="1"/>
    <col min="5647" max="5647" width="26.08984375" style="50" customWidth="1"/>
    <col min="5648" max="5648" width="27.453125" style="50" customWidth="1"/>
    <col min="5649" max="5649" width="29.08984375" style="50" customWidth="1"/>
    <col min="5650" max="5650" width="13.08984375" style="50" customWidth="1"/>
    <col min="5651" max="5732" width="2.08984375" style="50"/>
    <col min="5733" max="5733" width="1.08984375" style="50" customWidth="1"/>
    <col min="5734" max="5761" width="2.08984375" style="50"/>
    <col min="5762" max="5763" width="1.08984375" style="50" customWidth="1"/>
    <col min="5764" max="5772" width="2.08984375" style="50"/>
    <col min="5773" max="5773" width="4.81640625" style="50" customWidth="1"/>
    <col min="5774" max="5803" width="2.08984375" style="50"/>
    <col min="5804" max="5804" width="1.08984375" style="50" customWidth="1"/>
    <col min="5805" max="5811" width="2.08984375" style="50"/>
    <col min="5812" max="5812" width="3" style="50" customWidth="1"/>
    <col min="5813" max="5813" width="2.08984375" style="50"/>
    <col min="5814" max="5814" width="3.81640625" style="50" customWidth="1"/>
    <col min="5815" max="5881" width="2.08984375" style="50"/>
    <col min="5882" max="5898" width="2.453125" style="50" customWidth="1"/>
    <col min="5899" max="5900" width="2.08984375" style="50"/>
    <col min="5901" max="5901" width="3.81640625" style="50" customWidth="1"/>
    <col min="5902" max="5902" width="24.453125" style="50" customWidth="1"/>
    <col min="5903" max="5903" width="26.08984375" style="50" customWidth="1"/>
    <col min="5904" max="5904" width="27.453125" style="50" customWidth="1"/>
    <col min="5905" max="5905" width="29.08984375" style="50" customWidth="1"/>
    <col min="5906" max="5906" width="13.08984375" style="50" customWidth="1"/>
    <col min="5907" max="5988" width="2.08984375" style="50"/>
    <col min="5989" max="5989" width="1.08984375" style="50" customWidth="1"/>
    <col min="5990" max="6017" width="2.08984375" style="50"/>
    <col min="6018" max="6019" width="1.08984375" style="50" customWidth="1"/>
    <col min="6020" max="6028" width="2.08984375" style="50"/>
    <col min="6029" max="6029" width="4.81640625" style="50" customWidth="1"/>
    <col min="6030" max="6059" width="2.08984375" style="50"/>
    <col min="6060" max="6060" width="1.08984375" style="50" customWidth="1"/>
    <col min="6061" max="6067" width="2.08984375" style="50"/>
    <col min="6068" max="6068" width="3" style="50" customWidth="1"/>
    <col min="6069" max="6069" width="2.08984375" style="50"/>
    <col min="6070" max="6070" width="3.81640625" style="50" customWidth="1"/>
    <col min="6071" max="6137" width="2.08984375" style="50"/>
    <col min="6138" max="6154" width="2.453125" style="50" customWidth="1"/>
    <col min="6155" max="6156" width="2.08984375" style="50"/>
    <col min="6157" max="6157" width="3.81640625" style="50" customWidth="1"/>
    <col min="6158" max="6158" width="24.453125" style="50" customWidth="1"/>
    <col min="6159" max="6159" width="26.08984375" style="50" customWidth="1"/>
    <col min="6160" max="6160" width="27.453125" style="50" customWidth="1"/>
    <col min="6161" max="6161" width="29.08984375" style="50" customWidth="1"/>
    <col min="6162" max="6162" width="13.08984375" style="50" customWidth="1"/>
    <col min="6163" max="6244" width="2.08984375" style="50"/>
    <col min="6245" max="6245" width="1.08984375" style="50" customWidth="1"/>
    <col min="6246" max="6273" width="2.08984375" style="50"/>
    <col min="6274" max="6275" width="1.08984375" style="50" customWidth="1"/>
    <col min="6276" max="6284" width="2.08984375" style="50"/>
    <col min="6285" max="6285" width="4.81640625" style="50" customWidth="1"/>
    <col min="6286" max="6315" width="2.08984375" style="50"/>
    <col min="6316" max="6316" width="1.08984375" style="50" customWidth="1"/>
    <col min="6317" max="6323" width="2.08984375" style="50"/>
    <col min="6324" max="6324" width="3" style="50" customWidth="1"/>
    <col min="6325" max="6325" width="2.08984375" style="50"/>
    <col min="6326" max="6326" width="3.81640625" style="50" customWidth="1"/>
    <col min="6327" max="6393" width="2.08984375" style="50"/>
    <col min="6394" max="6410" width="2.453125" style="50" customWidth="1"/>
    <col min="6411" max="6412" width="2.08984375" style="50"/>
    <col min="6413" max="6413" width="3.81640625" style="50" customWidth="1"/>
    <col min="6414" max="6414" width="24.453125" style="50" customWidth="1"/>
    <col min="6415" max="6415" width="26.08984375" style="50" customWidth="1"/>
    <col min="6416" max="6416" width="27.453125" style="50" customWidth="1"/>
    <col min="6417" max="6417" width="29.08984375" style="50" customWidth="1"/>
    <col min="6418" max="6418" width="13.08984375" style="50" customWidth="1"/>
    <col min="6419" max="6500" width="2.08984375" style="50"/>
    <col min="6501" max="6501" width="1.08984375" style="50" customWidth="1"/>
    <col min="6502" max="6529" width="2.08984375" style="50"/>
    <col min="6530" max="6531" width="1.08984375" style="50" customWidth="1"/>
    <col min="6532" max="6540" width="2.08984375" style="50"/>
    <col min="6541" max="6541" width="4.81640625" style="50" customWidth="1"/>
    <col min="6542" max="6571" width="2.08984375" style="50"/>
    <col min="6572" max="6572" width="1.08984375" style="50" customWidth="1"/>
    <col min="6573" max="6579" width="2.08984375" style="50"/>
    <col min="6580" max="6580" width="3" style="50" customWidth="1"/>
    <col min="6581" max="6581" width="2.08984375" style="50"/>
    <col min="6582" max="6582" width="3.81640625" style="50" customWidth="1"/>
    <col min="6583" max="6649" width="2.08984375" style="50"/>
    <col min="6650" max="6666" width="2.453125" style="50" customWidth="1"/>
    <col min="6667" max="6668" width="2.08984375" style="50"/>
    <col min="6669" max="6669" width="3.81640625" style="50" customWidth="1"/>
    <col min="6670" max="6670" width="24.453125" style="50" customWidth="1"/>
    <col min="6671" max="6671" width="26.08984375" style="50" customWidth="1"/>
    <col min="6672" max="6672" width="27.453125" style="50" customWidth="1"/>
    <col min="6673" max="6673" width="29.08984375" style="50" customWidth="1"/>
    <col min="6674" max="6674" width="13.08984375" style="50" customWidth="1"/>
    <col min="6675" max="6756" width="2.08984375" style="50"/>
    <col min="6757" max="6757" width="1.08984375" style="50" customWidth="1"/>
    <col min="6758" max="6785" width="2.08984375" style="50"/>
    <col min="6786" max="6787" width="1.08984375" style="50" customWidth="1"/>
    <col min="6788" max="6796" width="2.08984375" style="50"/>
    <col min="6797" max="6797" width="4.81640625" style="50" customWidth="1"/>
    <col min="6798" max="6827" width="2.08984375" style="50"/>
    <col min="6828" max="6828" width="1.08984375" style="50" customWidth="1"/>
    <col min="6829" max="6835" width="2.08984375" style="50"/>
    <col min="6836" max="6836" width="3" style="50" customWidth="1"/>
    <col min="6837" max="6837" width="2.08984375" style="50"/>
    <col min="6838" max="6838" width="3.81640625" style="50" customWidth="1"/>
    <col min="6839" max="6905" width="2.08984375" style="50"/>
    <col min="6906" max="6922" width="2.453125" style="50" customWidth="1"/>
    <col min="6923" max="6924" width="2.08984375" style="50"/>
    <col min="6925" max="6925" width="3.81640625" style="50" customWidth="1"/>
    <col min="6926" max="6926" width="24.453125" style="50" customWidth="1"/>
    <col min="6927" max="6927" width="26.08984375" style="50" customWidth="1"/>
    <col min="6928" max="6928" width="27.453125" style="50" customWidth="1"/>
    <col min="6929" max="6929" width="29.08984375" style="50" customWidth="1"/>
    <col min="6930" max="6930" width="13.08984375" style="50" customWidth="1"/>
    <col min="6931" max="7012" width="2.08984375" style="50"/>
    <col min="7013" max="7013" width="1.08984375" style="50" customWidth="1"/>
    <col min="7014" max="7041" width="2.08984375" style="50"/>
    <col min="7042" max="7043" width="1.08984375" style="50" customWidth="1"/>
    <col min="7044" max="7052" width="2.08984375" style="50"/>
    <col min="7053" max="7053" width="4.81640625" style="50" customWidth="1"/>
    <col min="7054" max="7083" width="2.08984375" style="50"/>
    <col min="7084" max="7084" width="1.08984375" style="50" customWidth="1"/>
    <col min="7085" max="7091" width="2.08984375" style="50"/>
    <col min="7092" max="7092" width="3" style="50" customWidth="1"/>
    <col min="7093" max="7093" width="2.08984375" style="50"/>
    <col min="7094" max="7094" width="3.81640625" style="50" customWidth="1"/>
    <col min="7095" max="7161" width="2.08984375" style="50"/>
    <col min="7162" max="7178" width="2.453125" style="50" customWidth="1"/>
    <col min="7179" max="7180" width="2.08984375" style="50"/>
    <col min="7181" max="7181" width="3.81640625" style="50" customWidth="1"/>
    <col min="7182" max="7182" width="24.453125" style="50" customWidth="1"/>
    <col min="7183" max="7183" width="26.08984375" style="50" customWidth="1"/>
    <col min="7184" max="7184" width="27.453125" style="50" customWidth="1"/>
    <col min="7185" max="7185" width="29.08984375" style="50" customWidth="1"/>
    <col min="7186" max="7186" width="13.08984375" style="50" customWidth="1"/>
    <col min="7187" max="7268" width="2.08984375" style="50"/>
    <col min="7269" max="7269" width="1.08984375" style="50" customWidth="1"/>
    <col min="7270" max="7297" width="2.08984375" style="50"/>
    <col min="7298" max="7299" width="1.08984375" style="50" customWidth="1"/>
    <col min="7300" max="7308" width="2.08984375" style="50"/>
    <col min="7309" max="7309" width="4.81640625" style="50" customWidth="1"/>
    <col min="7310" max="7339" width="2.08984375" style="50"/>
    <col min="7340" max="7340" width="1.08984375" style="50" customWidth="1"/>
    <col min="7341" max="7347" width="2.08984375" style="50"/>
    <col min="7348" max="7348" width="3" style="50" customWidth="1"/>
    <col min="7349" max="7349" width="2.08984375" style="50"/>
    <col min="7350" max="7350" width="3.81640625" style="50" customWidth="1"/>
    <col min="7351" max="7417" width="2.08984375" style="50"/>
    <col min="7418" max="7434" width="2.453125" style="50" customWidth="1"/>
    <col min="7435" max="7436" width="2.08984375" style="50"/>
    <col min="7437" max="7437" width="3.81640625" style="50" customWidth="1"/>
    <col min="7438" max="7438" width="24.453125" style="50" customWidth="1"/>
    <col min="7439" max="7439" width="26.08984375" style="50" customWidth="1"/>
    <col min="7440" max="7440" width="27.453125" style="50" customWidth="1"/>
    <col min="7441" max="7441" width="29.08984375" style="50" customWidth="1"/>
    <col min="7442" max="7442" width="13.08984375" style="50" customWidth="1"/>
    <col min="7443" max="7524" width="2.08984375" style="50"/>
    <col min="7525" max="7525" width="1.08984375" style="50" customWidth="1"/>
    <col min="7526" max="7553" width="2.08984375" style="50"/>
    <col min="7554" max="7555" width="1.08984375" style="50" customWidth="1"/>
    <col min="7556" max="7564" width="2.08984375" style="50"/>
    <col min="7565" max="7565" width="4.81640625" style="50" customWidth="1"/>
    <col min="7566" max="7595" width="2.08984375" style="50"/>
    <col min="7596" max="7596" width="1.08984375" style="50" customWidth="1"/>
    <col min="7597" max="7603" width="2.08984375" style="50"/>
    <col min="7604" max="7604" width="3" style="50" customWidth="1"/>
    <col min="7605" max="7605" width="2.08984375" style="50"/>
    <col min="7606" max="7606" width="3.81640625" style="50" customWidth="1"/>
    <col min="7607" max="7673" width="2.08984375" style="50"/>
    <col min="7674" max="7690" width="2.453125" style="50" customWidth="1"/>
    <col min="7691" max="7692" width="2.08984375" style="50"/>
    <col min="7693" max="7693" width="3.81640625" style="50" customWidth="1"/>
    <col min="7694" max="7694" width="24.453125" style="50" customWidth="1"/>
    <col min="7695" max="7695" width="26.08984375" style="50" customWidth="1"/>
    <col min="7696" max="7696" width="27.453125" style="50" customWidth="1"/>
    <col min="7697" max="7697" width="29.08984375" style="50" customWidth="1"/>
    <col min="7698" max="7698" width="13.08984375" style="50" customWidth="1"/>
    <col min="7699" max="7780" width="2.08984375" style="50"/>
    <col min="7781" max="7781" width="1.08984375" style="50" customWidth="1"/>
    <col min="7782" max="7809" width="2.08984375" style="50"/>
    <col min="7810" max="7811" width="1.08984375" style="50" customWidth="1"/>
    <col min="7812" max="7820" width="2.08984375" style="50"/>
    <col min="7821" max="7821" width="4.81640625" style="50" customWidth="1"/>
    <col min="7822" max="7851" width="2.08984375" style="50"/>
    <col min="7852" max="7852" width="1.08984375" style="50" customWidth="1"/>
    <col min="7853" max="7859" width="2.08984375" style="50"/>
    <col min="7860" max="7860" width="3" style="50" customWidth="1"/>
    <col min="7861" max="7861" width="2.08984375" style="50"/>
    <col min="7862" max="7862" width="3.81640625" style="50" customWidth="1"/>
    <col min="7863" max="7929" width="2.08984375" style="50"/>
    <col min="7930" max="7946" width="2.453125" style="50" customWidth="1"/>
    <col min="7947" max="7948" width="2.08984375" style="50"/>
    <col min="7949" max="7949" width="3.81640625" style="50" customWidth="1"/>
    <col min="7950" max="7950" width="24.453125" style="50" customWidth="1"/>
    <col min="7951" max="7951" width="26.08984375" style="50" customWidth="1"/>
    <col min="7952" max="7952" width="27.453125" style="50" customWidth="1"/>
    <col min="7953" max="7953" width="29.08984375" style="50" customWidth="1"/>
    <col min="7954" max="7954" width="13.08984375" style="50" customWidth="1"/>
    <col min="7955" max="8036" width="2.08984375" style="50"/>
    <col min="8037" max="8037" width="1.08984375" style="50" customWidth="1"/>
    <col min="8038" max="8065" width="2.08984375" style="50"/>
    <col min="8066" max="8067" width="1.08984375" style="50" customWidth="1"/>
    <col min="8068" max="8076" width="2.08984375" style="50"/>
    <col min="8077" max="8077" width="4.81640625" style="50" customWidth="1"/>
    <col min="8078" max="8107" width="2.08984375" style="50"/>
    <col min="8108" max="8108" width="1.08984375" style="50" customWidth="1"/>
    <col min="8109" max="8115" width="2.08984375" style="50"/>
    <col min="8116" max="8116" width="3" style="50" customWidth="1"/>
    <col min="8117" max="8117" width="2.08984375" style="50"/>
    <col min="8118" max="8118" width="3.81640625" style="50" customWidth="1"/>
    <col min="8119" max="8185" width="2.08984375" style="50"/>
    <col min="8186" max="8202" width="2.453125" style="50" customWidth="1"/>
    <col min="8203" max="8204" width="2.08984375" style="50"/>
    <col min="8205" max="8205" width="3.81640625" style="50" customWidth="1"/>
    <col min="8206" max="8206" width="24.453125" style="50" customWidth="1"/>
    <col min="8207" max="8207" width="26.08984375" style="50" customWidth="1"/>
    <col min="8208" max="8208" width="27.453125" style="50" customWidth="1"/>
    <col min="8209" max="8209" width="29.08984375" style="50" customWidth="1"/>
    <col min="8210" max="8210" width="13.08984375" style="50" customWidth="1"/>
    <col min="8211" max="8292" width="2.08984375" style="50"/>
    <col min="8293" max="8293" width="1.08984375" style="50" customWidth="1"/>
    <col min="8294" max="8321" width="2.08984375" style="50"/>
    <col min="8322" max="8323" width="1.08984375" style="50" customWidth="1"/>
    <col min="8324" max="8332" width="2.08984375" style="50"/>
    <col min="8333" max="8333" width="4.81640625" style="50" customWidth="1"/>
    <col min="8334" max="8363" width="2.08984375" style="50"/>
    <col min="8364" max="8364" width="1.08984375" style="50" customWidth="1"/>
    <col min="8365" max="8371" width="2.08984375" style="50"/>
    <col min="8372" max="8372" width="3" style="50" customWidth="1"/>
    <col min="8373" max="8373" width="2.08984375" style="50"/>
    <col min="8374" max="8374" width="3.81640625" style="50" customWidth="1"/>
    <col min="8375" max="8441" width="2.08984375" style="50"/>
    <col min="8442" max="8458" width="2.453125" style="50" customWidth="1"/>
    <col min="8459" max="8460" width="2.08984375" style="50"/>
    <col min="8461" max="8461" width="3.81640625" style="50" customWidth="1"/>
    <col min="8462" max="8462" width="24.453125" style="50" customWidth="1"/>
    <col min="8463" max="8463" width="26.08984375" style="50" customWidth="1"/>
    <col min="8464" max="8464" width="27.453125" style="50" customWidth="1"/>
    <col min="8465" max="8465" width="29.08984375" style="50" customWidth="1"/>
    <col min="8466" max="8466" width="13.08984375" style="50" customWidth="1"/>
    <col min="8467" max="8548" width="2.08984375" style="50"/>
    <col min="8549" max="8549" width="1.08984375" style="50" customWidth="1"/>
    <col min="8550" max="8577" width="2.08984375" style="50"/>
    <col min="8578" max="8579" width="1.08984375" style="50" customWidth="1"/>
    <col min="8580" max="8588" width="2.08984375" style="50"/>
    <col min="8589" max="8589" width="4.81640625" style="50" customWidth="1"/>
    <col min="8590" max="8619" width="2.08984375" style="50"/>
    <col min="8620" max="8620" width="1.08984375" style="50" customWidth="1"/>
    <col min="8621" max="8627" width="2.08984375" style="50"/>
    <col min="8628" max="8628" width="3" style="50" customWidth="1"/>
    <col min="8629" max="8629" width="2.08984375" style="50"/>
    <col min="8630" max="8630" width="3.81640625" style="50" customWidth="1"/>
    <col min="8631" max="8697" width="2.08984375" style="50"/>
    <col min="8698" max="8714" width="2.453125" style="50" customWidth="1"/>
    <col min="8715" max="8716" width="2.08984375" style="50"/>
    <col min="8717" max="8717" width="3.81640625" style="50" customWidth="1"/>
    <col min="8718" max="8718" width="24.453125" style="50" customWidth="1"/>
    <col min="8719" max="8719" width="26.08984375" style="50" customWidth="1"/>
    <col min="8720" max="8720" width="27.453125" style="50" customWidth="1"/>
    <col min="8721" max="8721" width="29.08984375" style="50" customWidth="1"/>
    <col min="8722" max="8722" width="13.08984375" style="50" customWidth="1"/>
    <col min="8723" max="8804" width="2.08984375" style="50"/>
    <col min="8805" max="8805" width="1.08984375" style="50" customWidth="1"/>
    <col min="8806" max="8833" width="2.08984375" style="50"/>
    <col min="8834" max="8835" width="1.08984375" style="50" customWidth="1"/>
    <col min="8836" max="8844" width="2.08984375" style="50"/>
    <col min="8845" max="8845" width="4.81640625" style="50" customWidth="1"/>
    <col min="8846" max="8875" width="2.08984375" style="50"/>
    <col min="8876" max="8876" width="1.08984375" style="50" customWidth="1"/>
    <col min="8877" max="8883" width="2.08984375" style="50"/>
    <col min="8884" max="8884" width="3" style="50" customWidth="1"/>
    <col min="8885" max="8885" width="2.08984375" style="50"/>
    <col min="8886" max="8886" width="3.81640625" style="50" customWidth="1"/>
    <col min="8887" max="8953" width="2.08984375" style="50"/>
    <col min="8954" max="8970" width="2.453125" style="50" customWidth="1"/>
    <col min="8971" max="8972" width="2.08984375" style="50"/>
    <col min="8973" max="8973" width="3.81640625" style="50" customWidth="1"/>
    <col min="8974" max="8974" width="24.453125" style="50" customWidth="1"/>
    <col min="8975" max="8975" width="26.08984375" style="50" customWidth="1"/>
    <col min="8976" max="8976" width="27.453125" style="50" customWidth="1"/>
    <col min="8977" max="8977" width="29.08984375" style="50" customWidth="1"/>
    <col min="8978" max="8978" width="13.08984375" style="50" customWidth="1"/>
    <col min="8979" max="9060" width="2.08984375" style="50"/>
    <col min="9061" max="9061" width="1.08984375" style="50" customWidth="1"/>
    <col min="9062" max="9089" width="2.08984375" style="50"/>
    <col min="9090" max="9091" width="1.08984375" style="50" customWidth="1"/>
    <col min="9092" max="9100" width="2.08984375" style="50"/>
    <col min="9101" max="9101" width="4.81640625" style="50" customWidth="1"/>
    <col min="9102" max="9131" width="2.08984375" style="50"/>
    <col min="9132" max="9132" width="1.08984375" style="50" customWidth="1"/>
    <col min="9133" max="9139" width="2.08984375" style="50"/>
    <col min="9140" max="9140" width="3" style="50" customWidth="1"/>
    <col min="9141" max="9141" width="2.08984375" style="50"/>
    <col min="9142" max="9142" width="3.81640625" style="50" customWidth="1"/>
    <col min="9143" max="9209" width="2.08984375" style="50"/>
    <col min="9210" max="9226" width="2.453125" style="50" customWidth="1"/>
    <col min="9227" max="9228" width="2.08984375" style="50"/>
    <col min="9229" max="9229" width="3.81640625" style="50" customWidth="1"/>
    <col min="9230" max="9230" width="24.453125" style="50" customWidth="1"/>
    <col min="9231" max="9231" width="26.08984375" style="50" customWidth="1"/>
    <col min="9232" max="9232" width="27.453125" style="50" customWidth="1"/>
    <col min="9233" max="9233" width="29.08984375" style="50" customWidth="1"/>
    <col min="9234" max="9234" width="13.08984375" style="50" customWidth="1"/>
    <col min="9235" max="9316" width="2.08984375" style="50"/>
    <col min="9317" max="9317" width="1.08984375" style="50" customWidth="1"/>
    <col min="9318" max="9345" width="2.08984375" style="50"/>
    <col min="9346" max="9347" width="1.08984375" style="50" customWidth="1"/>
    <col min="9348" max="9356" width="2.08984375" style="50"/>
    <col min="9357" max="9357" width="4.81640625" style="50" customWidth="1"/>
    <col min="9358" max="9387" width="2.08984375" style="50"/>
    <col min="9388" max="9388" width="1.08984375" style="50" customWidth="1"/>
    <col min="9389" max="9395" width="2.08984375" style="50"/>
    <col min="9396" max="9396" width="3" style="50" customWidth="1"/>
    <col min="9397" max="9397" width="2.08984375" style="50"/>
    <col min="9398" max="9398" width="3.81640625" style="50" customWidth="1"/>
    <col min="9399" max="9465" width="2.08984375" style="50"/>
    <col min="9466" max="9482" width="2.453125" style="50" customWidth="1"/>
    <col min="9483" max="9484" width="2.08984375" style="50"/>
    <col min="9485" max="9485" width="3.81640625" style="50" customWidth="1"/>
    <col min="9486" max="9486" width="24.453125" style="50" customWidth="1"/>
    <col min="9487" max="9487" width="26.08984375" style="50" customWidth="1"/>
    <col min="9488" max="9488" width="27.453125" style="50" customWidth="1"/>
    <col min="9489" max="9489" width="29.08984375" style="50" customWidth="1"/>
    <col min="9490" max="9490" width="13.08984375" style="50" customWidth="1"/>
    <col min="9491" max="9572" width="2.08984375" style="50"/>
    <col min="9573" max="9573" width="1.08984375" style="50" customWidth="1"/>
    <col min="9574" max="9601" width="2.08984375" style="50"/>
    <col min="9602" max="9603" width="1.08984375" style="50" customWidth="1"/>
    <col min="9604" max="9612" width="2.08984375" style="50"/>
    <col min="9613" max="9613" width="4.81640625" style="50" customWidth="1"/>
    <col min="9614" max="9643" width="2.08984375" style="50"/>
    <col min="9644" max="9644" width="1.08984375" style="50" customWidth="1"/>
    <col min="9645" max="9651" width="2.08984375" style="50"/>
    <col min="9652" max="9652" width="3" style="50" customWidth="1"/>
    <col min="9653" max="9653" width="2.08984375" style="50"/>
    <col min="9654" max="9654" width="3.81640625" style="50" customWidth="1"/>
    <col min="9655" max="9721" width="2.08984375" style="50"/>
    <col min="9722" max="9738" width="2.453125" style="50" customWidth="1"/>
    <col min="9739" max="9740" width="2.08984375" style="50"/>
    <col min="9741" max="9741" width="3.81640625" style="50" customWidth="1"/>
    <col min="9742" max="9742" width="24.453125" style="50" customWidth="1"/>
    <col min="9743" max="9743" width="26.08984375" style="50" customWidth="1"/>
    <col min="9744" max="9744" width="27.453125" style="50" customWidth="1"/>
    <col min="9745" max="9745" width="29.08984375" style="50" customWidth="1"/>
    <col min="9746" max="9746" width="13.08984375" style="50" customWidth="1"/>
    <col min="9747" max="9828" width="2.08984375" style="50"/>
    <col min="9829" max="9829" width="1.08984375" style="50" customWidth="1"/>
    <col min="9830" max="9857" width="2.08984375" style="50"/>
    <col min="9858" max="9859" width="1.08984375" style="50" customWidth="1"/>
    <col min="9860" max="9868" width="2.08984375" style="50"/>
    <col min="9869" max="9869" width="4.81640625" style="50" customWidth="1"/>
    <col min="9870" max="9899" width="2.08984375" style="50"/>
    <col min="9900" max="9900" width="1.08984375" style="50" customWidth="1"/>
    <col min="9901" max="9907" width="2.08984375" style="50"/>
    <col min="9908" max="9908" width="3" style="50" customWidth="1"/>
    <col min="9909" max="9909" width="2.08984375" style="50"/>
    <col min="9910" max="9910" width="3.81640625" style="50" customWidth="1"/>
    <col min="9911" max="9977" width="2.08984375" style="50"/>
    <col min="9978" max="9994" width="2.453125" style="50" customWidth="1"/>
    <col min="9995" max="9996" width="2.08984375" style="50"/>
    <col min="9997" max="9997" width="3.81640625" style="50" customWidth="1"/>
    <col min="9998" max="9998" width="24.453125" style="50" customWidth="1"/>
    <col min="9999" max="9999" width="26.08984375" style="50" customWidth="1"/>
    <col min="10000" max="10000" width="27.453125" style="50" customWidth="1"/>
    <col min="10001" max="10001" width="29.08984375" style="50" customWidth="1"/>
    <col min="10002" max="10002" width="13.08984375" style="50" customWidth="1"/>
    <col min="10003" max="10084" width="2.08984375" style="50"/>
    <col min="10085" max="10085" width="1.08984375" style="50" customWidth="1"/>
    <col min="10086" max="10113" width="2.08984375" style="50"/>
    <col min="10114" max="10115" width="1.08984375" style="50" customWidth="1"/>
    <col min="10116" max="10124" width="2.08984375" style="50"/>
    <col min="10125" max="10125" width="4.81640625" style="50" customWidth="1"/>
    <col min="10126" max="10155" width="2.08984375" style="50"/>
    <col min="10156" max="10156" width="1.08984375" style="50" customWidth="1"/>
    <col min="10157" max="10163" width="2.08984375" style="50"/>
    <col min="10164" max="10164" width="3" style="50" customWidth="1"/>
    <col min="10165" max="10165" width="2.08984375" style="50"/>
    <col min="10166" max="10166" width="3.81640625" style="50" customWidth="1"/>
    <col min="10167" max="10233" width="2.08984375" style="50"/>
    <col min="10234" max="10250" width="2.453125" style="50" customWidth="1"/>
    <col min="10251" max="10252" width="2.08984375" style="50"/>
    <col min="10253" max="10253" width="3.81640625" style="50" customWidth="1"/>
    <col min="10254" max="10254" width="24.453125" style="50" customWidth="1"/>
    <col min="10255" max="10255" width="26.08984375" style="50" customWidth="1"/>
    <col min="10256" max="10256" width="27.453125" style="50" customWidth="1"/>
    <col min="10257" max="10257" width="29.08984375" style="50" customWidth="1"/>
    <col min="10258" max="10258" width="13.08984375" style="50" customWidth="1"/>
    <col min="10259" max="10340" width="2.08984375" style="50"/>
    <col min="10341" max="10341" width="1.08984375" style="50" customWidth="1"/>
    <col min="10342" max="10369" width="2.08984375" style="50"/>
    <col min="10370" max="10371" width="1.08984375" style="50" customWidth="1"/>
    <col min="10372" max="10380" width="2.08984375" style="50"/>
    <col min="10381" max="10381" width="4.81640625" style="50" customWidth="1"/>
    <col min="10382" max="10411" width="2.08984375" style="50"/>
    <col min="10412" max="10412" width="1.08984375" style="50" customWidth="1"/>
    <col min="10413" max="10419" width="2.08984375" style="50"/>
    <col min="10420" max="10420" width="3" style="50" customWidth="1"/>
    <col min="10421" max="10421" width="2.08984375" style="50"/>
    <col min="10422" max="10422" width="3.81640625" style="50" customWidth="1"/>
    <col min="10423" max="10489" width="2.08984375" style="50"/>
    <col min="10490" max="10506" width="2.453125" style="50" customWidth="1"/>
    <col min="10507" max="10508" width="2.08984375" style="50"/>
    <col min="10509" max="10509" width="3.81640625" style="50" customWidth="1"/>
    <col min="10510" max="10510" width="24.453125" style="50" customWidth="1"/>
    <col min="10511" max="10511" width="26.08984375" style="50" customWidth="1"/>
    <col min="10512" max="10512" width="27.453125" style="50" customWidth="1"/>
    <col min="10513" max="10513" width="29.08984375" style="50" customWidth="1"/>
    <col min="10514" max="10514" width="13.08984375" style="50" customWidth="1"/>
    <col min="10515" max="10596" width="2.08984375" style="50"/>
    <col min="10597" max="10597" width="1.08984375" style="50" customWidth="1"/>
    <col min="10598" max="10625" width="2.08984375" style="50"/>
    <col min="10626" max="10627" width="1.08984375" style="50" customWidth="1"/>
    <col min="10628" max="10636" width="2.08984375" style="50"/>
    <col min="10637" max="10637" width="4.81640625" style="50" customWidth="1"/>
    <col min="10638" max="10667" width="2.08984375" style="50"/>
    <col min="10668" max="10668" width="1.08984375" style="50" customWidth="1"/>
    <col min="10669" max="10675" width="2.08984375" style="50"/>
    <col min="10676" max="10676" width="3" style="50" customWidth="1"/>
    <col min="10677" max="10677" width="2.08984375" style="50"/>
    <col min="10678" max="10678" width="3.81640625" style="50" customWidth="1"/>
    <col min="10679" max="10745" width="2.08984375" style="50"/>
    <col min="10746" max="10762" width="2.453125" style="50" customWidth="1"/>
    <col min="10763" max="10764" width="2.08984375" style="50"/>
    <col min="10765" max="10765" width="3.81640625" style="50" customWidth="1"/>
    <col min="10766" max="10766" width="24.453125" style="50" customWidth="1"/>
    <col min="10767" max="10767" width="26.08984375" style="50" customWidth="1"/>
    <col min="10768" max="10768" width="27.453125" style="50" customWidth="1"/>
    <col min="10769" max="10769" width="29.08984375" style="50" customWidth="1"/>
    <col min="10770" max="10770" width="13.08984375" style="50" customWidth="1"/>
    <col min="10771" max="10852" width="2.08984375" style="50"/>
    <col min="10853" max="10853" width="1.08984375" style="50" customWidth="1"/>
    <col min="10854" max="10881" width="2.08984375" style="50"/>
    <col min="10882" max="10883" width="1.08984375" style="50" customWidth="1"/>
    <col min="10884" max="10892" width="2.08984375" style="50"/>
    <col min="10893" max="10893" width="4.81640625" style="50" customWidth="1"/>
    <col min="10894" max="10923" width="2.08984375" style="50"/>
    <col min="10924" max="10924" width="1.08984375" style="50" customWidth="1"/>
    <col min="10925" max="10931" width="2.08984375" style="50"/>
    <col min="10932" max="10932" width="3" style="50" customWidth="1"/>
    <col min="10933" max="10933" width="2.08984375" style="50"/>
    <col min="10934" max="10934" width="3.81640625" style="50" customWidth="1"/>
    <col min="10935" max="11001" width="2.08984375" style="50"/>
    <col min="11002" max="11018" width="2.453125" style="50" customWidth="1"/>
    <col min="11019" max="11020" width="2.08984375" style="50"/>
    <col min="11021" max="11021" width="3.81640625" style="50" customWidth="1"/>
    <col min="11022" max="11022" width="24.453125" style="50" customWidth="1"/>
    <col min="11023" max="11023" width="26.08984375" style="50" customWidth="1"/>
    <col min="11024" max="11024" width="27.453125" style="50" customWidth="1"/>
    <col min="11025" max="11025" width="29.08984375" style="50" customWidth="1"/>
    <col min="11026" max="11026" width="13.08984375" style="50" customWidth="1"/>
    <col min="11027" max="11108" width="2.08984375" style="50"/>
    <col min="11109" max="11109" width="1.08984375" style="50" customWidth="1"/>
    <col min="11110" max="11137" width="2.08984375" style="50"/>
    <col min="11138" max="11139" width="1.08984375" style="50" customWidth="1"/>
    <col min="11140" max="11148" width="2.08984375" style="50"/>
    <col min="11149" max="11149" width="4.81640625" style="50" customWidth="1"/>
    <col min="11150" max="11179" width="2.08984375" style="50"/>
    <col min="11180" max="11180" width="1.08984375" style="50" customWidth="1"/>
    <col min="11181" max="11187" width="2.08984375" style="50"/>
    <col min="11188" max="11188" width="3" style="50" customWidth="1"/>
    <col min="11189" max="11189" width="2.08984375" style="50"/>
    <col min="11190" max="11190" width="3.81640625" style="50" customWidth="1"/>
    <col min="11191" max="11257" width="2.08984375" style="50"/>
    <col min="11258" max="11274" width="2.453125" style="50" customWidth="1"/>
    <col min="11275" max="11276" width="2.08984375" style="50"/>
    <col min="11277" max="11277" width="3.81640625" style="50" customWidth="1"/>
    <col min="11278" max="11278" width="24.453125" style="50" customWidth="1"/>
    <col min="11279" max="11279" width="26.08984375" style="50" customWidth="1"/>
    <col min="11280" max="11280" width="27.453125" style="50" customWidth="1"/>
    <col min="11281" max="11281" width="29.08984375" style="50" customWidth="1"/>
    <col min="11282" max="11282" width="13.08984375" style="50" customWidth="1"/>
    <col min="11283" max="11364" width="2.08984375" style="50"/>
    <col min="11365" max="11365" width="1.08984375" style="50" customWidth="1"/>
    <col min="11366" max="11393" width="2.08984375" style="50"/>
    <col min="11394" max="11395" width="1.08984375" style="50" customWidth="1"/>
    <col min="11396" max="11404" width="2.08984375" style="50"/>
    <col min="11405" max="11405" width="4.81640625" style="50" customWidth="1"/>
    <col min="11406" max="11435" width="2.08984375" style="50"/>
    <col min="11436" max="11436" width="1.08984375" style="50" customWidth="1"/>
    <col min="11437" max="11443" width="2.08984375" style="50"/>
    <col min="11444" max="11444" width="3" style="50" customWidth="1"/>
    <col min="11445" max="11445" width="2.08984375" style="50"/>
    <col min="11446" max="11446" width="3.81640625" style="50" customWidth="1"/>
    <col min="11447" max="11513" width="2.08984375" style="50"/>
    <col min="11514" max="11530" width="2.453125" style="50" customWidth="1"/>
    <col min="11531" max="11532" width="2.08984375" style="50"/>
    <col min="11533" max="11533" width="3.81640625" style="50" customWidth="1"/>
    <col min="11534" max="11534" width="24.453125" style="50" customWidth="1"/>
    <col min="11535" max="11535" width="26.08984375" style="50" customWidth="1"/>
    <col min="11536" max="11536" width="27.453125" style="50" customWidth="1"/>
    <col min="11537" max="11537" width="29.08984375" style="50" customWidth="1"/>
    <col min="11538" max="11538" width="13.08984375" style="50" customWidth="1"/>
    <col min="11539" max="11620" width="2.08984375" style="50"/>
    <col min="11621" max="11621" width="1.08984375" style="50" customWidth="1"/>
    <col min="11622" max="11649" width="2.08984375" style="50"/>
    <col min="11650" max="11651" width="1.08984375" style="50" customWidth="1"/>
    <col min="11652" max="11660" width="2.08984375" style="50"/>
    <col min="11661" max="11661" width="4.81640625" style="50" customWidth="1"/>
    <col min="11662" max="11691" width="2.08984375" style="50"/>
    <col min="11692" max="11692" width="1.08984375" style="50" customWidth="1"/>
    <col min="11693" max="11699" width="2.08984375" style="50"/>
    <col min="11700" max="11700" width="3" style="50" customWidth="1"/>
    <col min="11701" max="11701" width="2.08984375" style="50"/>
    <col min="11702" max="11702" width="3.81640625" style="50" customWidth="1"/>
    <col min="11703" max="11769" width="2.08984375" style="50"/>
    <col min="11770" max="11786" width="2.453125" style="50" customWidth="1"/>
    <col min="11787" max="11788" width="2.08984375" style="50"/>
    <col min="11789" max="11789" width="3.81640625" style="50" customWidth="1"/>
    <col min="11790" max="11790" width="24.453125" style="50" customWidth="1"/>
    <col min="11791" max="11791" width="26.08984375" style="50" customWidth="1"/>
    <col min="11792" max="11792" width="27.453125" style="50" customWidth="1"/>
    <col min="11793" max="11793" width="29.08984375" style="50" customWidth="1"/>
    <col min="11794" max="11794" width="13.08984375" style="50" customWidth="1"/>
    <col min="11795" max="11876" width="2.08984375" style="50"/>
    <col min="11877" max="11877" width="1.08984375" style="50" customWidth="1"/>
    <col min="11878" max="11905" width="2.08984375" style="50"/>
    <col min="11906" max="11907" width="1.08984375" style="50" customWidth="1"/>
    <col min="11908" max="11916" width="2.08984375" style="50"/>
    <col min="11917" max="11917" width="4.81640625" style="50" customWidth="1"/>
    <col min="11918" max="11947" width="2.08984375" style="50"/>
    <col min="11948" max="11948" width="1.08984375" style="50" customWidth="1"/>
    <col min="11949" max="11955" width="2.08984375" style="50"/>
    <col min="11956" max="11956" width="3" style="50" customWidth="1"/>
    <col min="11957" max="11957" width="2.08984375" style="50"/>
    <col min="11958" max="11958" width="3.81640625" style="50" customWidth="1"/>
    <col min="11959" max="12025" width="2.08984375" style="50"/>
    <col min="12026" max="12042" width="2.453125" style="50" customWidth="1"/>
    <col min="12043" max="12044" width="2.08984375" style="50"/>
    <col min="12045" max="12045" width="3.81640625" style="50" customWidth="1"/>
    <col min="12046" max="12046" width="24.453125" style="50" customWidth="1"/>
    <col min="12047" max="12047" width="26.08984375" style="50" customWidth="1"/>
    <col min="12048" max="12048" width="27.453125" style="50" customWidth="1"/>
    <col min="12049" max="12049" width="29.08984375" style="50" customWidth="1"/>
    <col min="12050" max="12050" width="13.08984375" style="50" customWidth="1"/>
    <col min="12051" max="12132" width="2.08984375" style="50"/>
    <col min="12133" max="12133" width="1.08984375" style="50" customWidth="1"/>
    <col min="12134" max="12161" width="2.08984375" style="50"/>
    <col min="12162" max="12163" width="1.08984375" style="50" customWidth="1"/>
    <col min="12164" max="12172" width="2.08984375" style="50"/>
    <col min="12173" max="12173" width="4.81640625" style="50" customWidth="1"/>
    <col min="12174" max="12203" width="2.08984375" style="50"/>
    <col min="12204" max="12204" width="1.08984375" style="50" customWidth="1"/>
    <col min="12205" max="12211" width="2.08984375" style="50"/>
    <col min="12212" max="12212" width="3" style="50" customWidth="1"/>
    <col min="12213" max="12213" width="2.08984375" style="50"/>
    <col min="12214" max="12214" width="3.81640625" style="50" customWidth="1"/>
    <col min="12215" max="12281" width="2.08984375" style="50"/>
    <col min="12282" max="12298" width="2.453125" style="50" customWidth="1"/>
    <col min="12299" max="12300" width="2.08984375" style="50"/>
    <col min="12301" max="12301" width="3.81640625" style="50" customWidth="1"/>
    <col min="12302" max="12302" width="24.453125" style="50" customWidth="1"/>
    <col min="12303" max="12303" width="26.08984375" style="50" customWidth="1"/>
    <col min="12304" max="12304" width="27.453125" style="50" customWidth="1"/>
    <col min="12305" max="12305" width="29.08984375" style="50" customWidth="1"/>
    <col min="12306" max="12306" width="13.08984375" style="50" customWidth="1"/>
    <col min="12307" max="12388" width="2.08984375" style="50"/>
    <col min="12389" max="12389" width="1.08984375" style="50" customWidth="1"/>
    <col min="12390" max="12417" width="2.08984375" style="50"/>
    <col min="12418" max="12419" width="1.08984375" style="50" customWidth="1"/>
    <col min="12420" max="12428" width="2.08984375" style="50"/>
    <col min="12429" max="12429" width="4.81640625" style="50" customWidth="1"/>
    <col min="12430" max="12459" width="2.08984375" style="50"/>
    <col min="12460" max="12460" width="1.08984375" style="50" customWidth="1"/>
    <col min="12461" max="12467" width="2.08984375" style="50"/>
    <col min="12468" max="12468" width="3" style="50" customWidth="1"/>
    <col min="12469" max="12469" width="2.08984375" style="50"/>
    <col min="12470" max="12470" width="3.81640625" style="50" customWidth="1"/>
    <col min="12471" max="12537" width="2.08984375" style="50"/>
    <col min="12538" max="12554" width="2.453125" style="50" customWidth="1"/>
    <col min="12555" max="12556" width="2.08984375" style="50"/>
    <col min="12557" max="12557" width="3.81640625" style="50" customWidth="1"/>
    <col min="12558" max="12558" width="24.453125" style="50" customWidth="1"/>
    <col min="12559" max="12559" width="26.08984375" style="50" customWidth="1"/>
    <col min="12560" max="12560" width="27.453125" style="50" customWidth="1"/>
    <col min="12561" max="12561" width="29.08984375" style="50" customWidth="1"/>
    <col min="12562" max="12562" width="13.08984375" style="50" customWidth="1"/>
    <col min="12563" max="12644" width="2.08984375" style="50"/>
    <col min="12645" max="12645" width="1.08984375" style="50" customWidth="1"/>
    <col min="12646" max="12673" width="2.08984375" style="50"/>
    <col min="12674" max="12675" width="1.08984375" style="50" customWidth="1"/>
    <col min="12676" max="12684" width="2.08984375" style="50"/>
    <col min="12685" max="12685" width="4.81640625" style="50" customWidth="1"/>
    <col min="12686" max="12715" width="2.08984375" style="50"/>
    <col min="12716" max="12716" width="1.08984375" style="50" customWidth="1"/>
    <col min="12717" max="12723" width="2.08984375" style="50"/>
    <col min="12724" max="12724" width="3" style="50" customWidth="1"/>
    <col min="12725" max="12725" width="2.08984375" style="50"/>
    <col min="12726" max="12726" width="3.81640625" style="50" customWidth="1"/>
    <col min="12727" max="12793" width="2.08984375" style="50"/>
    <col min="12794" max="12810" width="2.453125" style="50" customWidth="1"/>
    <col min="12811" max="12812" width="2.08984375" style="50"/>
    <col min="12813" max="12813" width="3.81640625" style="50" customWidth="1"/>
    <col min="12814" max="12814" width="24.453125" style="50" customWidth="1"/>
    <col min="12815" max="12815" width="26.08984375" style="50" customWidth="1"/>
    <col min="12816" max="12816" width="27.453125" style="50" customWidth="1"/>
    <col min="12817" max="12817" width="29.08984375" style="50" customWidth="1"/>
    <col min="12818" max="12818" width="13.08984375" style="50" customWidth="1"/>
    <col min="12819" max="12900" width="2.08984375" style="50"/>
    <col min="12901" max="12901" width="1.08984375" style="50" customWidth="1"/>
    <col min="12902" max="12929" width="2.08984375" style="50"/>
    <col min="12930" max="12931" width="1.08984375" style="50" customWidth="1"/>
    <col min="12932" max="12940" width="2.08984375" style="50"/>
    <col min="12941" max="12941" width="4.81640625" style="50" customWidth="1"/>
    <col min="12942" max="12971" width="2.08984375" style="50"/>
    <col min="12972" max="12972" width="1.08984375" style="50" customWidth="1"/>
    <col min="12973" max="12979" width="2.08984375" style="50"/>
    <col min="12980" max="12980" width="3" style="50" customWidth="1"/>
    <col min="12981" max="12981" width="2.08984375" style="50"/>
    <col min="12982" max="12982" width="3.81640625" style="50" customWidth="1"/>
    <col min="12983" max="13049" width="2.08984375" style="50"/>
    <col min="13050" max="13066" width="2.453125" style="50" customWidth="1"/>
    <col min="13067" max="13068" width="2.08984375" style="50"/>
    <col min="13069" max="13069" width="3.81640625" style="50" customWidth="1"/>
    <col min="13070" max="13070" width="24.453125" style="50" customWidth="1"/>
    <col min="13071" max="13071" width="26.08984375" style="50" customWidth="1"/>
    <col min="13072" max="13072" width="27.453125" style="50" customWidth="1"/>
    <col min="13073" max="13073" width="29.08984375" style="50" customWidth="1"/>
    <col min="13074" max="13074" width="13.08984375" style="50" customWidth="1"/>
    <col min="13075" max="13156" width="2.08984375" style="50"/>
    <col min="13157" max="13157" width="1.08984375" style="50" customWidth="1"/>
    <col min="13158" max="13185" width="2.08984375" style="50"/>
    <col min="13186" max="13187" width="1.08984375" style="50" customWidth="1"/>
    <col min="13188" max="13196" width="2.08984375" style="50"/>
    <col min="13197" max="13197" width="4.81640625" style="50" customWidth="1"/>
    <col min="13198" max="13227" width="2.08984375" style="50"/>
    <col min="13228" max="13228" width="1.08984375" style="50" customWidth="1"/>
    <col min="13229" max="13235" width="2.08984375" style="50"/>
    <col min="13236" max="13236" width="3" style="50" customWidth="1"/>
    <col min="13237" max="13237" width="2.08984375" style="50"/>
    <col min="13238" max="13238" width="3.81640625" style="50" customWidth="1"/>
    <col min="13239" max="13305" width="2.08984375" style="50"/>
    <col min="13306" max="13322" width="2.453125" style="50" customWidth="1"/>
    <col min="13323" max="13324" width="2.08984375" style="50"/>
    <col min="13325" max="13325" width="3.81640625" style="50" customWidth="1"/>
    <col min="13326" max="13326" width="24.453125" style="50" customWidth="1"/>
    <col min="13327" max="13327" width="26.08984375" style="50" customWidth="1"/>
    <col min="13328" max="13328" width="27.453125" style="50" customWidth="1"/>
    <col min="13329" max="13329" width="29.08984375" style="50" customWidth="1"/>
    <col min="13330" max="13330" width="13.08984375" style="50" customWidth="1"/>
    <col min="13331" max="13412" width="2.08984375" style="50"/>
    <col min="13413" max="13413" width="1.08984375" style="50" customWidth="1"/>
    <col min="13414" max="13441" width="2.08984375" style="50"/>
    <col min="13442" max="13443" width="1.08984375" style="50" customWidth="1"/>
    <col min="13444" max="13452" width="2.08984375" style="50"/>
    <col min="13453" max="13453" width="4.81640625" style="50" customWidth="1"/>
    <col min="13454" max="13483" width="2.08984375" style="50"/>
    <col min="13484" max="13484" width="1.08984375" style="50" customWidth="1"/>
    <col min="13485" max="13491" width="2.08984375" style="50"/>
    <col min="13492" max="13492" width="3" style="50" customWidth="1"/>
    <col min="13493" max="13493" width="2.08984375" style="50"/>
    <col min="13494" max="13494" width="3.81640625" style="50" customWidth="1"/>
    <col min="13495" max="13561" width="2.08984375" style="50"/>
    <col min="13562" max="13578" width="2.453125" style="50" customWidth="1"/>
    <col min="13579" max="13580" width="2.08984375" style="50"/>
    <col min="13581" max="13581" width="3.81640625" style="50" customWidth="1"/>
    <col min="13582" max="13582" width="24.453125" style="50" customWidth="1"/>
    <col min="13583" max="13583" width="26.08984375" style="50" customWidth="1"/>
    <col min="13584" max="13584" width="27.453125" style="50" customWidth="1"/>
    <col min="13585" max="13585" width="29.08984375" style="50" customWidth="1"/>
    <col min="13586" max="13586" width="13.08984375" style="50" customWidth="1"/>
    <col min="13587" max="13668" width="2.08984375" style="50"/>
    <col min="13669" max="13669" width="1.08984375" style="50" customWidth="1"/>
    <col min="13670" max="13697" width="2.08984375" style="50"/>
    <col min="13698" max="13699" width="1.08984375" style="50" customWidth="1"/>
    <col min="13700" max="13708" width="2.08984375" style="50"/>
    <col min="13709" max="13709" width="4.81640625" style="50" customWidth="1"/>
    <col min="13710" max="13739" width="2.08984375" style="50"/>
    <col min="13740" max="13740" width="1.08984375" style="50" customWidth="1"/>
    <col min="13741" max="13747" width="2.08984375" style="50"/>
    <col min="13748" max="13748" width="3" style="50" customWidth="1"/>
    <col min="13749" max="13749" width="2.08984375" style="50"/>
    <col min="13750" max="13750" width="3.81640625" style="50" customWidth="1"/>
    <col min="13751" max="13817" width="2.08984375" style="50"/>
    <col min="13818" max="13834" width="2.453125" style="50" customWidth="1"/>
    <col min="13835" max="13836" width="2.08984375" style="50"/>
    <col min="13837" max="13837" width="3.81640625" style="50" customWidth="1"/>
    <col min="13838" max="13838" width="24.453125" style="50" customWidth="1"/>
    <col min="13839" max="13839" width="26.08984375" style="50" customWidth="1"/>
    <col min="13840" max="13840" width="27.453125" style="50" customWidth="1"/>
    <col min="13841" max="13841" width="29.08984375" style="50" customWidth="1"/>
    <col min="13842" max="13842" width="13.08984375" style="50" customWidth="1"/>
    <col min="13843" max="13924" width="2.08984375" style="50"/>
    <col min="13925" max="13925" width="1.08984375" style="50" customWidth="1"/>
    <col min="13926" max="13953" width="2.08984375" style="50"/>
    <col min="13954" max="13955" width="1.08984375" style="50" customWidth="1"/>
    <col min="13956" max="13964" width="2.08984375" style="50"/>
    <col min="13965" max="13965" width="4.81640625" style="50" customWidth="1"/>
    <col min="13966" max="13995" width="2.08984375" style="50"/>
    <col min="13996" max="13996" width="1.08984375" style="50" customWidth="1"/>
    <col min="13997" max="14003" width="2.08984375" style="50"/>
    <col min="14004" max="14004" width="3" style="50" customWidth="1"/>
    <col min="14005" max="14005" width="2.08984375" style="50"/>
    <col min="14006" max="14006" width="3.81640625" style="50" customWidth="1"/>
    <col min="14007" max="14073" width="2.08984375" style="50"/>
    <col min="14074" max="14090" width="2.453125" style="50" customWidth="1"/>
    <col min="14091" max="14092" width="2.08984375" style="50"/>
    <col min="14093" max="14093" width="3.81640625" style="50" customWidth="1"/>
    <col min="14094" max="14094" width="24.453125" style="50" customWidth="1"/>
    <col min="14095" max="14095" width="26.08984375" style="50" customWidth="1"/>
    <col min="14096" max="14096" width="27.453125" style="50" customWidth="1"/>
    <col min="14097" max="14097" width="29.08984375" style="50" customWidth="1"/>
    <col min="14098" max="14098" width="13.08984375" style="50" customWidth="1"/>
    <col min="14099" max="14180" width="2.08984375" style="50"/>
    <col min="14181" max="14181" width="1.08984375" style="50" customWidth="1"/>
    <col min="14182" max="14209" width="2.08984375" style="50"/>
    <col min="14210" max="14211" width="1.08984375" style="50" customWidth="1"/>
    <col min="14212" max="14220" width="2.08984375" style="50"/>
    <col min="14221" max="14221" width="4.81640625" style="50" customWidth="1"/>
    <col min="14222" max="14251" width="2.08984375" style="50"/>
    <col min="14252" max="14252" width="1.08984375" style="50" customWidth="1"/>
    <col min="14253" max="14259" width="2.08984375" style="50"/>
    <col min="14260" max="14260" width="3" style="50" customWidth="1"/>
    <col min="14261" max="14261" width="2.08984375" style="50"/>
    <col min="14262" max="14262" width="3.81640625" style="50" customWidth="1"/>
    <col min="14263" max="14329" width="2.08984375" style="50"/>
    <col min="14330" max="14346" width="2.453125" style="50" customWidth="1"/>
    <col min="14347" max="14348" width="2.08984375" style="50"/>
    <col min="14349" max="14349" width="3.81640625" style="50" customWidth="1"/>
    <col min="14350" max="14350" width="24.453125" style="50" customWidth="1"/>
    <col min="14351" max="14351" width="26.08984375" style="50" customWidth="1"/>
    <col min="14352" max="14352" width="27.453125" style="50" customWidth="1"/>
    <col min="14353" max="14353" width="29.08984375" style="50" customWidth="1"/>
    <col min="14354" max="14354" width="13.08984375" style="50" customWidth="1"/>
    <col min="14355" max="14436" width="2.08984375" style="50"/>
    <col min="14437" max="14437" width="1.08984375" style="50" customWidth="1"/>
    <col min="14438" max="14465" width="2.08984375" style="50"/>
    <col min="14466" max="14467" width="1.08984375" style="50" customWidth="1"/>
    <col min="14468" max="14476" width="2.08984375" style="50"/>
    <col min="14477" max="14477" width="4.81640625" style="50" customWidth="1"/>
    <col min="14478" max="14507" width="2.08984375" style="50"/>
    <col min="14508" max="14508" width="1.08984375" style="50" customWidth="1"/>
    <col min="14509" max="14515" width="2.08984375" style="50"/>
    <col min="14516" max="14516" width="3" style="50" customWidth="1"/>
    <col min="14517" max="14517" width="2.08984375" style="50"/>
    <col min="14518" max="14518" width="3.81640625" style="50" customWidth="1"/>
    <col min="14519" max="14585" width="2.08984375" style="50"/>
    <col min="14586" max="14602" width="2.453125" style="50" customWidth="1"/>
    <col min="14603" max="14604" width="2.08984375" style="50"/>
    <col min="14605" max="14605" width="3.81640625" style="50" customWidth="1"/>
    <col min="14606" max="14606" width="24.453125" style="50" customWidth="1"/>
    <col min="14607" max="14607" width="26.08984375" style="50" customWidth="1"/>
    <col min="14608" max="14608" width="27.453125" style="50" customWidth="1"/>
    <col min="14609" max="14609" width="29.08984375" style="50" customWidth="1"/>
    <col min="14610" max="14610" width="13.08984375" style="50" customWidth="1"/>
    <col min="14611" max="14692" width="2.08984375" style="50"/>
    <col min="14693" max="14693" width="1.08984375" style="50" customWidth="1"/>
    <col min="14694" max="14721" width="2.08984375" style="50"/>
    <col min="14722" max="14723" width="1.08984375" style="50" customWidth="1"/>
    <col min="14724" max="14732" width="2.08984375" style="50"/>
    <col min="14733" max="14733" width="4.81640625" style="50" customWidth="1"/>
    <col min="14734" max="14763" width="2.08984375" style="50"/>
    <col min="14764" max="14764" width="1.08984375" style="50" customWidth="1"/>
    <col min="14765" max="14771" width="2.08984375" style="50"/>
    <col min="14772" max="14772" width="3" style="50" customWidth="1"/>
    <col min="14773" max="14773" width="2.08984375" style="50"/>
    <col min="14774" max="14774" width="3.81640625" style="50" customWidth="1"/>
    <col min="14775" max="14841" width="2.08984375" style="50"/>
    <col min="14842" max="14858" width="2.453125" style="50" customWidth="1"/>
    <col min="14859" max="14860" width="2.08984375" style="50"/>
    <col min="14861" max="14861" width="3.81640625" style="50" customWidth="1"/>
    <col min="14862" max="14862" width="24.453125" style="50" customWidth="1"/>
    <col min="14863" max="14863" width="26.08984375" style="50" customWidth="1"/>
    <col min="14864" max="14864" width="27.453125" style="50" customWidth="1"/>
    <col min="14865" max="14865" width="29.08984375" style="50" customWidth="1"/>
    <col min="14866" max="14866" width="13.08984375" style="50" customWidth="1"/>
    <col min="14867" max="14948" width="2.08984375" style="50"/>
    <col min="14949" max="14949" width="1.08984375" style="50" customWidth="1"/>
    <col min="14950" max="14977" width="2.08984375" style="50"/>
    <col min="14978" max="14979" width="1.08984375" style="50" customWidth="1"/>
    <col min="14980" max="14988" width="2.08984375" style="50"/>
    <col min="14989" max="14989" width="4.81640625" style="50" customWidth="1"/>
    <col min="14990" max="15019" width="2.08984375" style="50"/>
    <col min="15020" max="15020" width="1.08984375" style="50" customWidth="1"/>
    <col min="15021" max="15027" width="2.08984375" style="50"/>
    <col min="15028" max="15028" width="3" style="50" customWidth="1"/>
    <col min="15029" max="15029" width="2.08984375" style="50"/>
    <col min="15030" max="15030" width="3.81640625" style="50" customWidth="1"/>
    <col min="15031" max="15097" width="2.08984375" style="50"/>
    <col min="15098" max="15114" width="2.453125" style="50" customWidth="1"/>
    <col min="15115" max="15116" width="2.08984375" style="50"/>
    <col min="15117" max="15117" width="3.81640625" style="50" customWidth="1"/>
    <col min="15118" max="15118" width="24.453125" style="50" customWidth="1"/>
    <col min="15119" max="15119" width="26.08984375" style="50" customWidth="1"/>
    <col min="15120" max="15120" width="27.453125" style="50" customWidth="1"/>
    <col min="15121" max="15121" width="29.08984375" style="50" customWidth="1"/>
    <col min="15122" max="15122" width="13.08984375" style="50" customWidth="1"/>
    <col min="15123" max="15204" width="2.08984375" style="50"/>
    <col min="15205" max="15205" width="1.08984375" style="50" customWidth="1"/>
    <col min="15206" max="15233" width="2.08984375" style="50"/>
    <col min="15234" max="15235" width="1.08984375" style="50" customWidth="1"/>
    <col min="15236" max="15244" width="2.08984375" style="50"/>
    <col min="15245" max="15245" width="4.81640625" style="50" customWidth="1"/>
    <col min="15246" max="15275" width="2.08984375" style="50"/>
    <col min="15276" max="15276" width="1.08984375" style="50" customWidth="1"/>
    <col min="15277" max="15283" width="2.08984375" style="50"/>
    <col min="15284" max="15284" width="3" style="50" customWidth="1"/>
    <col min="15285" max="15285" width="2.08984375" style="50"/>
    <col min="15286" max="15286" width="3.81640625" style="50" customWidth="1"/>
    <col min="15287" max="15353" width="2.08984375" style="50"/>
    <col min="15354" max="15370" width="2.453125" style="50" customWidth="1"/>
    <col min="15371" max="15372" width="2.08984375" style="50"/>
    <col min="15373" max="15373" width="3.81640625" style="50" customWidth="1"/>
    <col min="15374" max="15374" width="24.453125" style="50" customWidth="1"/>
    <col min="15375" max="15375" width="26.08984375" style="50" customWidth="1"/>
    <col min="15376" max="15376" width="27.453125" style="50" customWidth="1"/>
    <col min="15377" max="15377" width="29.08984375" style="50" customWidth="1"/>
    <col min="15378" max="15378" width="13.08984375" style="50" customWidth="1"/>
    <col min="15379" max="15460" width="2.08984375" style="50"/>
    <col min="15461" max="15461" width="1.08984375" style="50" customWidth="1"/>
    <col min="15462" max="15489" width="2.08984375" style="50"/>
    <col min="15490" max="15491" width="1.08984375" style="50" customWidth="1"/>
    <col min="15492" max="15500" width="2.08984375" style="50"/>
    <col min="15501" max="15501" width="4.81640625" style="50" customWidth="1"/>
    <col min="15502" max="15531" width="2.08984375" style="50"/>
    <col min="15532" max="15532" width="1.08984375" style="50" customWidth="1"/>
    <col min="15533" max="15539" width="2.08984375" style="50"/>
    <col min="15540" max="15540" width="3" style="50" customWidth="1"/>
    <col min="15541" max="15541" width="2.08984375" style="50"/>
    <col min="15542" max="15542" width="3.81640625" style="50" customWidth="1"/>
    <col min="15543" max="15609" width="2.08984375" style="50"/>
    <col min="15610" max="15626" width="2.453125" style="50" customWidth="1"/>
    <col min="15627" max="15628" width="2.08984375" style="50"/>
    <col min="15629" max="15629" width="3.81640625" style="50" customWidth="1"/>
    <col min="15630" max="15630" width="24.453125" style="50" customWidth="1"/>
    <col min="15631" max="15631" width="26.08984375" style="50" customWidth="1"/>
    <col min="15632" max="15632" width="27.453125" style="50" customWidth="1"/>
    <col min="15633" max="15633" width="29.08984375" style="50" customWidth="1"/>
    <col min="15634" max="15634" width="13.08984375" style="50" customWidth="1"/>
    <col min="15635" max="15716" width="2.08984375" style="50"/>
    <col min="15717" max="15717" width="1.08984375" style="50" customWidth="1"/>
    <col min="15718" max="15745" width="2.08984375" style="50"/>
    <col min="15746" max="15747" width="1.08984375" style="50" customWidth="1"/>
    <col min="15748" max="15756" width="2.08984375" style="50"/>
    <col min="15757" max="15757" width="4.81640625" style="50" customWidth="1"/>
    <col min="15758" max="15787" width="2.08984375" style="50"/>
    <col min="15788" max="15788" width="1.08984375" style="50" customWidth="1"/>
    <col min="15789" max="15795" width="2.08984375" style="50"/>
    <col min="15796" max="15796" width="3" style="50" customWidth="1"/>
    <col min="15797" max="15797" width="2.08984375" style="50"/>
    <col min="15798" max="15798" width="3.81640625" style="50" customWidth="1"/>
    <col min="15799" max="15865" width="2.08984375" style="50"/>
    <col min="15866" max="15882" width="2.453125" style="50" customWidth="1"/>
    <col min="15883" max="15884" width="2.08984375" style="50"/>
    <col min="15885" max="15885" width="3.81640625" style="50" customWidth="1"/>
    <col min="15886" max="15886" width="24.453125" style="50" customWidth="1"/>
    <col min="15887" max="15887" width="26.08984375" style="50" customWidth="1"/>
    <col min="15888" max="15888" width="27.453125" style="50" customWidth="1"/>
    <col min="15889" max="15889" width="29.08984375" style="50" customWidth="1"/>
    <col min="15890" max="15890" width="13.08984375" style="50" customWidth="1"/>
    <col min="15891" max="15972" width="2.08984375" style="50"/>
    <col min="15973" max="15973" width="1.08984375" style="50" customWidth="1"/>
    <col min="15974" max="16001" width="2.08984375" style="50"/>
    <col min="16002" max="16003" width="1.08984375" style="50" customWidth="1"/>
    <col min="16004" max="16012" width="2.08984375" style="50"/>
    <col min="16013" max="16013" width="4.81640625" style="50" customWidth="1"/>
    <col min="16014" max="16043" width="2.08984375" style="50"/>
    <col min="16044" max="16044" width="1.08984375" style="50" customWidth="1"/>
    <col min="16045" max="16051" width="2.08984375" style="50"/>
    <col min="16052" max="16052" width="3" style="50" customWidth="1"/>
    <col min="16053" max="16053" width="2.08984375" style="50"/>
    <col min="16054" max="16054" width="3.81640625" style="50" customWidth="1"/>
    <col min="16055" max="16121" width="2.08984375" style="50"/>
    <col min="16122" max="16138" width="2.453125" style="50" customWidth="1"/>
    <col min="16139" max="16140" width="2.08984375" style="50"/>
    <col min="16141" max="16141" width="3.81640625" style="50" customWidth="1"/>
    <col min="16142" max="16142" width="24.453125" style="50" customWidth="1"/>
    <col min="16143" max="16143" width="26.08984375" style="50" customWidth="1"/>
    <col min="16144" max="16144" width="27.453125" style="50" customWidth="1"/>
    <col min="16145" max="16145" width="29.08984375" style="50" customWidth="1"/>
    <col min="16146" max="16146" width="13.08984375" style="50" customWidth="1"/>
    <col min="16147" max="16384" width="2.08984375" style="50"/>
  </cols>
  <sheetData>
    <row r="1" spans="1:91" s="142" customFormat="1" ht="13" x14ac:dyDescent="0.3">
      <c r="A1" s="139"/>
      <c r="B1" s="140"/>
      <c r="C1" s="140"/>
      <c r="D1" s="140"/>
      <c r="E1" s="140"/>
      <c r="F1" s="140"/>
      <c r="G1" s="141"/>
      <c r="H1" s="492" t="s">
        <v>193</v>
      </c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4"/>
      <c r="BL1" s="495" t="s">
        <v>189</v>
      </c>
      <c r="BM1" s="496"/>
      <c r="BN1" s="496"/>
      <c r="BO1" s="496"/>
      <c r="BP1" s="496" t="s">
        <v>190</v>
      </c>
      <c r="BQ1" s="496"/>
      <c r="BR1" s="496"/>
      <c r="BS1" s="496"/>
      <c r="BT1" s="496"/>
      <c r="BU1" s="496"/>
      <c r="BV1" s="496"/>
      <c r="BW1" s="496"/>
      <c r="BX1" s="496" t="s">
        <v>191</v>
      </c>
      <c r="BY1" s="496"/>
      <c r="BZ1" s="496"/>
      <c r="CA1" s="497"/>
      <c r="CB1" s="18"/>
      <c r="CC1" s="18"/>
    </row>
    <row r="2" spans="1:91" s="142" customFormat="1" ht="12.75" customHeight="1" x14ac:dyDescent="0.25">
      <c r="A2" s="143"/>
      <c r="B2" s="381"/>
      <c r="C2" s="382"/>
      <c r="D2" s="382"/>
      <c r="E2" s="382"/>
      <c r="F2" s="382"/>
      <c r="G2" s="383"/>
      <c r="H2" s="498" t="s">
        <v>152</v>
      </c>
      <c r="I2" s="499"/>
      <c r="J2" s="499"/>
      <c r="K2" s="499"/>
      <c r="L2" s="499"/>
      <c r="M2" s="499"/>
      <c r="N2" s="499"/>
      <c r="O2" s="499"/>
      <c r="P2" s="500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2"/>
      <c r="BL2" s="505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7"/>
      <c r="CB2" s="18"/>
      <c r="CC2" s="18"/>
    </row>
    <row r="3" spans="1:91" s="142" customFormat="1" ht="12.75" customHeight="1" x14ac:dyDescent="0.25">
      <c r="A3" s="143"/>
      <c r="B3" s="384"/>
      <c r="C3" s="18"/>
      <c r="D3" s="18"/>
      <c r="E3" s="18"/>
      <c r="F3" s="18"/>
      <c r="G3" s="144"/>
      <c r="H3" s="503"/>
      <c r="I3" s="501"/>
      <c r="J3" s="501"/>
      <c r="K3" s="501"/>
      <c r="L3" s="501"/>
      <c r="M3" s="501"/>
      <c r="N3" s="501"/>
      <c r="O3" s="501"/>
      <c r="P3" s="504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2"/>
      <c r="BL3" s="505"/>
      <c r="BM3" s="506"/>
      <c r="BN3" s="506"/>
      <c r="BO3" s="506"/>
      <c r="BP3" s="506"/>
      <c r="BQ3" s="506"/>
      <c r="BR3" s="506"/>
      <c r="BS3" s="506"/>
      <c r="BT3" s="506"/>
      <c r="BU3" s="506"/>
      <c r="BV3" s="506"/>
      <c r="BW3" s="506"/>
      <c r="BX3" s="506"/>
      <c r="BY3" s="506"/>
      <c r="BZ3" s="506"/>
      <c r="CA3" s="507"/>
      <c r="CB3" s="18"/>
      <c r="CC3" s="18"/>
    </row>
    <row r="4" spans="1:91" s="142" customFormat="1" ht="13" thickBot="1" x14ac:dyDescent="0.3">
      <c r="A4" s="145"/>
      <c r="B4" s="385"/>
      <c r="C4" s="146"/>
      <c r="D4" s="146"/>
      <c r="E4" s="146"/>
      <c r="F4" s="146"/>
      <c r="G4" s="147"/>
      <c r="H4" s="485" t="s">
        <v>192</v>
      </c>
      <c r="I4" s="486"/>
      <c r="J4" s="486"/>
      <c r="K4" s="486"/>
      <c r="L4" s="486"/>
      <c r="M4" s="486"/>
      <c r="N4" s="486"/>
      <c r="O4" s="486"/>
      <c r="P4" s="487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8"/>
      <c r="BL4" s="489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1"/>
      <c r="CB4" s="18"/>
      <c r="CC4" s="18"/>
    </row>
    <row r="5" spans="1:91" s="108" customFormat="1" ht="5.25" customHeight="1" x14ac:dyDescent="0.35">
      <c r="A5" s="174"/>
      <c r="B5" s="387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388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5"/>
      <c r="BL5" s="175"/>
      <c r="BM5" s="175"/>
      <c r="BN5" s="175"/>
      <c r="BO5" s="175"/>
      <c r="BP5" s="175"/>
      <c r="BQ5" s="175"/>
      <c r="BR5" s="175"/>
      <c r="BS5" s="175"/>
      <c r="BT5" s="176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</row>
    <row r="6" spans="1:91" s="108" customFormat="1" ht="12.5" customHeight="1" x14ac:dyDescent="0.35">
      <c r="A6" s="177"/>
      <c r="B6" s="17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7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179"/>
      <c r="AD6" s="180"/>
      <c r="AE6" s="178"/>
      <c r="AF6" s="512" t="s">
        <v>194</v>
      </c>
      <c r="AG6" s="512"/>
      <c r="AH6" s="512"/>
      <c r="AI6" s="512"/>
      <c r="AJ6" s="512"/>
      <c r="AK6" s="512"/>
      <c r="AL6" s="512"/>
      <c r="AM6" s="512"/>
      <c r="AN6" s="512"/>
      <c r="AO6" s="512"/>
      <c r="AP6" s="512"/>
      <c r="AQ6" s="512"/>
      <c r="AR6" s="512"/>
      <c r="AS6" s="512"/>
      <c r="AT6" s="512"/>
      <c r="AU6" s="512"/>
      <c r="AV6" s="512"/>
      <c r="AW6" s="512"/>
      <c r="AX6" s="512"/>
      <c r="AY6" s="49"/>
      <c r="AZ6" s="49"/>
      <c r="BA6" s="49"/>
      <c r="BB6" s="512" t="s">
        <v>195</v>
      </c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4"/>
      <c r="BT6" s="181"/>
      <c r="BU6" s="516" t="s">
        <v>196</v>
      </c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</row>
    <row r="7" spans="1:91" s="108" customFormat="1" ht="12.5" customHeight="1" x14ac:dyDescent="0.35">
      <c r="A7" s="177"/>
      <c r="B7" s="182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183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183"/>
      <c r="AD7" s="50"/>
      <c r="AE7" s="182"/>
      <c r="AF7" s="513"/>
      <c r="AG7" s="513"/>
      <c r="AH7" s="513"/>
      <c r="AI7" s="513"/>
      <c r="AJ7" s="513"/>
      <c r="AK7" s="513"/>
      <c r="AL7" s="513"/>
      <c r="AM7" s="513"/>
      <c r="AN7" s="513"/>
      <c r="AO7" s="513"/>
      <c r="AP7" s="513"/>
      <c r="AQ7" s="513"/>
      <c r="AR7" s="513"/>
      <c r="AS7" s="513"/>
      <c r="AT7" s="513"/>
      <c r="AU7" s="513"/>
      <c r="AV7" s="513"/>
      <c r="AW7" s="513"/>
      <c r="AX7" s="513"/>
      <c r="AY7" s="50"/>
      <c r="AZ7" s="50"/>
      <c r="BA7" s="50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5"/>
      <c r="BT7" s="181"/>
      <c r="BU7" s="516"/>
      <c r="BV7" s="50"/>
      <c r="BW7" s="50"/>
      <c r="BX7" s="50"/>
      <c r="BY7" s="50" t="s">
        <v>236</v>
      </c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</row>
    <row r="8" spans="1:91" s="108" customFormat="1" ht="12.5" customHeight="1" x14ac:dyDescent="0.35">
      <c r="A8" s="177"/>
      <c r="B8" s="508" t="s">
        <v>197</v>
      </c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10"/>
      <c r="Q8" s="509"/>
      <c r="R8" s="509"/>
      <c r="S8" s="509"/>
      <c r="T8" s="509"/>
      <c r="U8" s="509"/>
      <c r="V8" s="509"/>
      <c r="W8" s="509"/>
      <c r="X8" s="509"/>
      <c r="Y8" s="509"/>
      <c r="Z8" s="509"/>
      <c r="AA8" s="509"/>
      <c r="AB8" s="509"/>
      <c r="AC8" s="183"/>
      <c r="AD8" s="50"/>
      <c r="AE8" s="182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50"/>
      <c r="AZ8" s="50"/>
      <c r="BA8" s="149"/>
      <c r="BB8" s="184" t="s">
        <v>198</v>
      </c>
      <c r="BC8" s="50"/>
      <c r="BD8" s="149"/>
      <c r="BE8" s="50"/>
      <c r="BF8" s="149"/>
      <c r="BG8" s="149"/>
      <c r="BH8" s="149"/>
      <c r="BI8" s="149"/>
      <c r="BJ8" s="50"/>
      <c r="BK8" s="50"/>
      <c r="BL8" s="50"/>
      <c r="BM8" s="50"/>
      <c r="BN8" s="50"/>
      <c r="BO8" s="50"/>
      <c r="BP8" s="50"/>
      <c r="BQ8" s="50"/>
      <c r="BR8" s="50"/>
      <c r="BS8" s="183"/>
      <c r="BT8" s="181"/>
      <c r="BU8" s="185" t="s">
        <v>199</v>
      </c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</row>
    <row r="9" spans="1:91" s="108" customFormat="1" ht="7.5" customHeight="1" x14ac:dyDescent="0.35">
      <c r="A9" s="177"/>
      <c r="B9" s="508"/>
      <c r="C9" s="509"/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09"/>
      <c r="O9" s="509"/>
      <c r="P9" s="510"/>
      <c r="Q9" s="509"/>
      <c r="R9" s="509"/>
      <c r="S9" s="509"/>
      <c r="T9" s="509"/>
      <c r="U9" s="509"/>
      <c r="V9" s="509"/>
      <c r="W9" s="509"/>
      <c r="X9" s="509"/>
      <c r="Y9" s="509"/>
      <c r="Z9" s="509"/>
      <c r="AA9" s="509"/>
      <c r="AB9" s="509"/>
      <c r="AC9" s="183"/>
      <c r="AD9" s="50"/>
      <c r="AE9" s="182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86"/>
      <c r="AQ9" s="186"/>
      <c r="AR9" s="186"/>
      <c r="AS9" s="186"/>
      <c r="AT9" s="186"/>
      <c r="AU9" s="186"/>
      <c r="AV9" s="186"/>
      <c r="AW9" s="186"/>
      <c r="AX9" s="186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183"/>
      <c r="BT9" s="181"/>
      <c r="BU9" s="187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</row>
    <row r="10" spans="1:91" s="108" customFormat="1" x14ac:dyDescent="0.35">
      <c r="A10" s="177"/>
      <c r="B10" s="182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183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183"/>
      <c r="AD10" s="50"/>
      <c r="AE10" s="182"/>
      <c r="AF10" s="188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183"/>
      <c r="BT10" s="181"/>
      <c r="BU10" s="189" t="s">
        <v>200</v>
      </c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</row>
    <row r="11" spans="1:91" s="108" customFormat="1" x14ac:dyDescent="0.35">
      <c r="A11" s="177"/>
      <c r="B11" s="182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183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183"/>
      <c r="AD11" s="50"/>
      <c r="AE11" s="182"/>
      <c r="AF11" s="188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183"/>
      <c r="BT11" s="181"/>
      <c r="BU11" s="189" t="s">
        <v>201</v>
      </c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</row>
    <row r="12" spans="1:91" s="108" customFormat="1" x14ac:dyDescent="0.35">
      <c r="A12" s="177"/>
      <c r="B12" s="182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183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183"/>
      <c r="AD12" s="50"/>
      <c r="AE12" s="182"/>
      <c r="AF12" s="188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183"/>
      <c r="BT12" s="181"/>
      <c r="BU12" s="189" t="s">
        <v>202</v>
      </c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</row>
    <row r="13" spans="1:91" s="108" customFormat="1" ht="12.5" customHeight="1" x14ac:dyDescent="0.35">
      <c r="A13" s="177"/>
      <c r="B13" s="182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183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183"/>
      <c r="AD13" s="50"/>
      <c r="AE13" s="182"/>
      <c r="AF13" s="188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183"/>
      <c r="BT13" s="181"/>
      <c r="BU13" s="189" t="s">
        <v>203</v>
      </c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</row>
    <row r="14" spans="1:91" s="108" customFormat="1" x14ac:dyDescent="0.35">
      <c r="A14" s="177"/>
      <c r="B14" s="182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183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183"/>
      <c r="AD14" s="50"/>
      <c r="AE14" s="182"/>
      <c r="AF14" s="188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183"/>
      <c r="BT14" s="181"/>
      <c r="BU14" s="189" t="s">
        <v>204</v>
      </c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</row>
    <row r="15" spans="1:91" s="108" customFormat="1" x14ac:dyDescent="0.35">
      <c r="A15" s="177"/>
      <c r="B15" s="182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183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183"/>
      <c r="AD15" s="50"/>
      <c r="AE15" s="182"/>
      <c r="AF15" s="188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183"/>
      <c r="BT15" s="181"/>
      <c r="BU15" s="187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</row>
    <row r="16" spans="1:91" s="108" customFormat="1" ht="13" x14ac:dyDescent="0.35">
      <c r="A16" s="177"/>
      <c r="B16" s="182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183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183"/>
      <c r="AD16" s="50"/>
      <c r="AE16" s="182"/>
      <c r="AF16" s="50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183"/>
      <c r="BT16" s="181"/>
      <c r="BU16" s="190" t="s">
        <v>205</v>
      </c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</row>
    <row r="17" spans="1:91" s="108" customFormat="1" x14ac:dyDescent="0.35">
      <c r="A17" s="177"/>
      <c r="B17" s="182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183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183"/>
      <c r="AD17" s="50"/>
      <c r="AE17" s="182"/>
      <c r="AF17" s="50"/>
      <c r="AG17" s="50"/>
      <c r="AH17" s="50"/>
      <c r="AI17" s="191" t="s">
        <v>206</v>
      </c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183"/>
      <c r="BT17" s="181"/>
      <c r="BU17" s="189" t="s">
        <v>207</v>
      </c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</row>
    <row r="18" spans="1:91" s="108" customFormat="1" x14ac:dyDescent="0.35">
      <c r="A18" s="177"/>
      <c r="B18" s="182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183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83"/>
      <c r="AD18" s="50"/>
      <c r="AE18" s="182"/>
      <c r="AF18" s="50"/>
      <c r="AG18" s="50"/>
      <c r="AH18" s="50"/>
      <c r="AI18" s="149"/>
      <c r="AJ18" s="149"/>
      <c r="AK18" s="149"/>
      <c r="AL18" s="50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183"/>
      <c r="BT18" s="181"/>
      <c r="BU18" s="189" t="s">
        <v>208</v>
      </c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</row>
    <row r="19" spans="1:91" s="108" customFormat="1" x14ac:dyDescent="0.35">
      <c r="A19" s="177"/>
      <c r="B19" s="182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183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183"/>
      <c r="AD19" s="50"/>
      <c r="AE19" s="182"/>
      <c r="AF19" s="50"/>
      <c r="AG19" s="50"/>
      <c r="AH19" s="50"/>
      <c r="AI19" s="149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183"/>
      <c r="BT19" s="181"/>
      <c r="BU19" s="187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</row>
    <row r="20" spans="1:91" s="108" customFormat="1" ht="13" x14ac:dyDescent="0.35">
      <c r="A20" s="177"/>
      <c r="B20" s="182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183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183"/>
      <c r="AD20" s="50"/>
      <c r="AE20" s="182"/>
      <c r="AF20" s="50"/>
      <c r="AG20" s="50"/>
      <c r="AH20" s="50"/>
      <c r="AI20" s="149"/>
      <c r="AJ20" s="149"/>
      <c r="AK20" s="149"/>
      <c r="AL20" s="50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50"/>
      <c r="BE20" s="50"/>
      <c r="BF20" s="149"/>
      <c r="BG20" s="50"/>
      <c r="BH20" s="50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92"/>
      <c r="BT20" s="181"/>
      <c r="BU20" s="190" t="s">
        <v>209</v>
      </c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</row>
    <row r="21" spans="1:91" s="108" customFormat="1" x14ac:dyDescent="0.35">
      <c r="A21" s="177"/>
      <c r="B21" s="182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183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183"/>
      <c r="AD21" s="50"/>
      <c r="AE21" s="182"/>
      <c r="AF21" s="50"/>
      <c r="AG21" s="50"/>
      <c r="AH21" s="50"/>
      <c r="AI21" s="149"/>
      <c r="AJ21" s="149"/>
      <c r="AK21" s="149"/>
      <c r="AL21" s="50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92"/>
      <c r="BT21" s="181"/>
      <c r="BU21" s="189" t="s">
        <v>210</v>
      </c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</row>
    <row r="22" spans="1:91" s="108" customFormat="1" x14ac:dyDescent="0.35">
      <c r="A22" s="177"/>
      <c r="B22" s="182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183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183"/>
      <c r="AD22" s="50"/>
      <c r="AE22" s="182"/>
      <c r="AF22" s="50"/>
      <c r="AG22" s="50"/>
      <c r="AH22" s="50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50"/>
      <c r="BE22" s="50"/>
      <c r="BF22" s="50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92"/>
      <c r="BT22" s="181"/>
      <c r="BU22" s="189" t="s">
        <v>211</v>
      </c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</row>
    <row r="23" spans="1:91" s="108" customFormat="1" x14ac:dyDescent="0.35">
      <c r="A23" s="177"/>
      <c r="B23" s="182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183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183"/>
      <c r="AD23" s="50"/>
      <c r="AE23" s="182"/>
      <c r="AF23" s="50"/>
      <c r="AG23" s="50"/>
      <c r="AH23" s="50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50"/>
      <c r="BE23" s="50"/>
      <c r="BF23" s="50"/>
      <c r="BG23" s="50"/>
      <c r="BH23" s="50"/>
      <c r="BI23" s="50"/>
      <c r="BJ23" s="149"/>
      <c r="BK23" s="149"/>
      <c r="BL23" s="149"/>
      <c r="BM23" s="149"/>
      <c r="BN23" s="149"/>
      <c r="BO23" s="149"/>
      <c r="BP23" s="149"/>
      <c r="BQ23" s="149"/>
      <c r="BR23" s="149"/>
      <c r="BS23" s="192"/>
      <c r="BT23" s="181"/>
      <c r="BU23" s="187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</row>
    <row r="24" spans="1:91" s="108" customFormat="1" ht="13" x14ac:dyDescent="0.35">
      <c r="A24" s="177"/>
      <c r="B24" s="182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183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183"/>
      <c r="AD24" s="50"/>
      <c r="AE24" s="182"/>
      <c r="AF24" s="50"/>
      <c r="AG24" s="50"/>
      <c r="AH24" s="50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50"/>
      <c r="BE24" s="50"/>
      <c r="BF24" s="50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92"/>
      <c r="BT24" s="181"/>
      <c r="BU24" s="190" t="s">
        <v>212</v>
      </c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</row>
    <row r="25" spans="1:91" s="108" customFormat="1" x14ac:dyDescent="0.35">
      <c r="A25" s="177"/>
      <c r="B25" s="182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183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183"/>
      <c r="AD25" s="50"/>
      <c r="AE25" s="182"/>
      <c r="AF25" s="50"/>
      <c r="AG25" s="50"/>
      <c r="AH25" s="50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50"/>
      <c r="BE25" s="50"/>
      <c r="BF25" s="50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92"/>
      <c r="BT25" s="181"/>
      <c r="BU25" s="189" t="s">
        <v>213</v>
      </c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</row>
    <row r="26" spans="1:91" s="108" customFormat="1" ht="12.5" customHeight="1" x14ac:dyDescent="0.35">
      <c r="A26" s="177"/>
      <c r="B26" s="182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183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183"/>
      <c r="AD26" s="50"/>
      <c r="AE26" s="182"/>
      <c r="AF26" s="50"/>
      <c r="AG26" s="50"/>
      <c r="AH26" s="50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50"/>
      <c r="BE26" s="50"/>
      <c r="BF26" s="50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  <c r="BS26" s="192"/>
      <c r="BT26" s="181"/>
      <c r="BU26" s="189" t="s">
        <v>214</v>
      </c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</row>
    <row r="27" spans="1:91" s="108" customFormat="1" ht="12.5" customHeight="1" x14ac:dyDescent="0.35">
      <c r="A27" s="177"/>
      <c r="B27" s="182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183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183"/>
      <c r="AD27" s="50"/>
      <c r="AE27" s="182"/>
      <c r="AF27" s="50"/>
      <c r="AG27" s="50"/>
      <c r="AH27" s="50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50"/>
      <c r="BE27" s="50"/>
      <c r="BF27" s="50"/>
      <c r="BG27" s="149"/>
      <c r="BH27" s="50"/>
      <c r="BI27" s="149"/>
      <c r="BJ27" s="149"/>
      <c r="BK27" s="149"/>
      <c r="BL27" s="149"/>
      <c r="BM27" s="149"/>
      <c r="BN27" s="149"/>
      <c r="BO27" s="149"/>
      <c r="BP27" s="149"/>
      <c r="BQ27" s="149"/>
      <c r="BR27" s="149"/>
      <c r="BS27" s="192"/>
      <c r="BT27" s="181"/>
      <c r="BU27" s="189" t="s">
        <v>215</v>
      </c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</row>
    <row r="28" spans="1:91" s="108" customFormat="1" x14ac:dyDescent="0.35">
      <c r="A28" s="177"/>
      <c r="B28" s="182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183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183"/>
      <c r="AD28" s="50"/>
      <c r="AE28" s="182"/>
      <c r="AF28" s="50"/>
      <c r="AG28" s="50"/>
      <c r="AH28" s="50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84" t="s">
        <v>216</v>
      </c>
      <c r="BI28" s="149"/>
      <c r="BJ28" s="149"/>
      <c r="BK28" s="149"/>
      <c r="BL28" s="149"/>
      <c r="BM28" s="149"/>
      <c r="BN28" s="149"/>
      <c r="BO28" s="149"/>
      <c r="BP28" s="149"/>
      <c r="BQ28" s="149"/>
      <c r="BR28" s="149"/>
      <c r="BS28" s="192"/>
      <c r="BT28" s="181"/>
      <c r="BU28" s="187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</row>
    <row r="29" spans="1:91" s="108" customFormat="1" ht="13" x14ac:dyDescent="0.35">
      <c r="A29" s="177"/>
      <c r="B29" s="182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183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83"/>
      <c r="AD29" s="50"/>
      <c r="AE29" s="182"/>
      <c r="AF29" s="50"/>
      <c r="AG29" s="50"/>
      <c r="AH29" s="50"/>
      <c r="AI29" s="149"/>
      <c r="AJ29" s="149"/>
      <c r="AK29" s="149"/>
      <c r="AL29" s="50"/>
      <c r="AM29" s="50"/>
      <c r="AN29" s="50"/>
      <c r="AO29" s="50"/>
      <c r="AP29" s="149"/>
      <c r="AQ29" s="149"/>
      <c r="AR29" s="149"/>
      <c r="AS29" s="149"/>
      <c r="AT29" s="149"/>
      <c r="AU29" s="149"/>
      <c r="AV29" s="50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50"/>
      <c r="BI29" s="149"/>
      <c r="BJ29" s="149"/>
      <c r="BK29" s="149"/>
      <c r="BL29" s="149"/>
      <c r="BM29" s="149"/>
      <c r="BN29" s="149"/>
      <c r="BO29" s="149"/>
      <c r="BP29" s="149"/>
      <c r="BQ29" s="149"/>
      <c r="BR29" s="149"/>
      <c r="BS29" s="192"/>
      <c r="BT29" s="181"/>
      <c r="BU29" s="190" t="s">
        <v>217</v>
      </c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</row>
    <row r="30" spans="1:91" s="108" customFormat="1" ht="9.75" customHeight="1" x14ac:dyDescent="0.35">
      <c r="A30" s="177"/>
      <c r="B30" s="182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183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183"/>
      <c r="AD30" s="50"/>
      <c r="AE30" s="182"/>
      <c r="AF30" s="50"/>
      <c r="AG30" s="50"/>
      <c r="AH30" s="50"/>
      <c r="AI30" s="149"/>
      <c r="AJ30" s="149"/>
      <c r="AK30" s="149"/>
      <c r="AL30" s="50"/>
      <c r="AM30" s="50"/>
      <c r="AN30" s="50"/>
      <c r="AO30" s="50"/>
      <c r="AP30" s="149"/>
      <c r="AQ30" s="149"/>
      <c r="AR30" s="149"/>
      <c r="AS30" s="149"/>
      <c r="AT30" s="149"/>
      <c r="AU30" s="149"/>
      <c r="AV30" s="50"/>
      <c r="AW30" s="50"/>
      <c r="AX30" s="149"/>
      <c r="AY30" s="149"/>
      <c r="AZ30" s="149"/>
      <c r="BA30" s="149"/>
      <c r="BB30" s="149"/>
      <c r="BC30" s="149"/>
      <c r="BD30" s="50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92"/>
      <c r="BT30" s="181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</row>
    <row r="31" spans="1:91" s="108" customFormat="1" x14ac:dyDescent="0.35">
      <c r="A31" s="177"/>
      <c r="B31" s="182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183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183"/>
      <c r="AD31" s="50"/>
      <c r="AE31" s="182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183"/>
      <c r="BT31" s="181"/>
      <c r="BU31" s="511" t="s">
        <v>218</v>
      </c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</row>
    <row r="32" spans="1:91" s="108" customFormat="1" x14ac:dyDescent="0.35">
      <c r="A32" s="177"/>
      <c r="B32" s="182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183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183"/>
      <c r="AD32" s="50"/>
      <c r="AE32" s="182"/>
      <c r="AF32" s="50"/>
      <c r="AG32" s="50"/>
      <c r="AH32" s="184" t="s">
        <v>219</v>
      </c>
      <c r="AI32" s="50"/>
      <c r="AJ32" s="50"/>
      <c r="AK32" s="50"/>
      <c r="AL32" s="149"/>
      <c r="AM32" s="50"/>
      <c r="AN32" s="149"/>
      <c r="AO32" s="149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183"/>
      <c r="BT32" s="181"/>
      <c r="BU32" s="511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</row>
    <row r="33" spans="1:91" s="108" customFormat="1" x14ac:dyDescent="0.35">
      <c r="A33" s="177"/>
      <c r="B33" s="182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183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183"/>
      <c r="AD33" s="50"/>
      <c r="AE33" s="182"/>
      <c r="AF33" s="50"/>
      <c r="AG33" s="50"/>
      <c r="AH33" s="149"/>
      <c r="AI33" s="50"/>
      <c r="AJ33" s="50"/>
      <c r="AK33" s="50"/>
      <c r="AL33" s="149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183"/>
      <c r="BT33" s="50"/>
      <c r="BU33" s="193" t="s">
        <v>220</v>
      </c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</row>
    <row r="34" spans="1:91" s="108" customFormat="1" x14ac:dyDescent="0.35">
      <c r="A34" s="177"/>
      <c r="B34" s="182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183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183"/>
      <c r="AD34" s="50"/>
      <c r="AE34" s="182"/>
      <c r="AF34" s="50"/>
      <c r="AG34" s="50"/>
      <c r="AH34" s="149"/>
      <c r="AI34" s="50"/>
      <c r="AJ34" s="50"/>
      <c r="AK34" s="50"/>
      <c r="AL34" s="149"/>
      <c r="AM34" s="149"/>
      <c r="AN34" s="149"/>
      <c r="AO34" s="149"/>
      <c r="AP34" s="149"/>
      <c r="AQ34" s="149"/>
      <c r="AR34" s="149"/>
      <c r="AS34" s="149"/>
      <c r="AT34" s="50"/>
      <c r="AU34" s="50"/>
      <c r="AV34" s="50"/>
      <c r="AW34" s="149"/>
      <c r="AX34" s="149"/>
      <c r="AY34" s="149"/>
      <c r="AZ34" s="149"/>
      <c r="BA34" s="50"/>
      <c r="BB34" s="149"/>
      <c r="BC34" s="149"/>
      <c r="BD34" s="149"/>
      <c r="BE34" s="50"/>
      <c r="BF34" s="50"/>
      <c r="BG34" s="50"/>
      <c r="BH34" s="50"/>
      <c r="BI34" s="149"/>
      <c r="BJ34" s="149"/>
      <c r="BK34" s="149"/>
      <c r="BL34" s="149"/>
      <c r="BM34" s="149"/>
      <c r="BN34" s="149"/>
      <c r="BO34" s="149"/>
      <c r="BP34" s="50"/>
      <c r="BQ34" s="50"/>
      <c r="BR34" s="50"/>
      <c r="BS34" s="183"/>
      <c r="BT34" s="50"/>
      <c r="BU34" s="193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</row>
    <row r="35" spans="1:91" s="108" customFormat="1" ht="13" x14ac:dyDescent="0.35">
      <c r="A35" s="177"/>
      <c r="B35" s="182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183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183"/>
      <c r="AD35" s="50"/>
      <c r="AE35" s="182"/>
      <c r="AF35" s="50"/>
      <c r="AG35" s="50"/>
      <c r="AH35" s="149"/>
      <c r="AI35" s="50"/>
      <c r="AJ35" s="149"/>
      <c r="AK35" s="50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50"/>
      <c r="BQ35" s="50"/>
      <c r="BR35" s="50"/>
      <c r="BS35" s="183"/>
      <c r="BT35" s="50"/>
      <c r="BU35" s="194" t="s">
        <v>221</v>
      </c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</row>
    <row r="36" spans="1:91" s="108" customFormat="1" x14ac:dyDescent="0.35">
      <c r="A36" s="177"/>
      <c r="B36" s="195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3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3"/>
      <c r="AD36" s="50"/>
      <c r="AE36" s="182"/>
      <c r="AF36" s="50"/>
      <c r="AG36" s="50"/>
      <c r="AH36" s="149"/>
      <c r="AI36" s="50"/>
      <c r="AJ36" s="149"/>
      <c r="AK36" s="50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50"/>
      <c r="BQ36" s="50"/>
      <c r="BR36" s="50"/>
      <c r="BS36" s="183"/>
      <c r="BT36" s="50"/>
      <c r="BU36" s="193" t="s">
        <v>222</v>
      </c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</row>
    <row r="37" spans="1:91" ht="12.5" customHeight="1" x14ac:dyDescent="0.35">
      <c r="A37" s="177"/>
      <c r="B37" s="17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17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E37" s="182"/>
      <c r="AJ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S37" s="183"/>
      <c r="BU37" s="193" t="s">
        <v>223</v>
      </c>
    </row>
    <row r="38" spans="1:91" x14ac:dyDescent="0.35">
      <c r="A38" s="177"/>
      <c r="B38" s="17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17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179"/>
      <c r="AE38" s="182"/>
      <c r="AF38" s="149"/>
      <c r="AI38" s="149"/>
      <c r="AJ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S38" s="183"/>
      <c r="BU38" s="193" t="s">
        <v>224</v>
      </c>
    </row>
    <row r="39" spans="1:91" x14ac:dyDescent="0.35">
      <c r="A39" s="177"/>
      <c r="B39" s="182"/>
      <c r="P39" s="183"/>
      <c r="AC39" s="183"/>
      <c r="AE39" s="182"/>
      <c r="AF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S39" s="183"/>
      <c r="BU39" s="193"/>
    </row>
    <row r="40" spans="1:91" ht="13" x14ac:dyDescent="0.35">
      <c r="A40" s="177"/>
      <c r="B40" s="182"/>
      <c r="P40" s="183"/>
      <c r="AC40" s="183"/>
      <c r="AE40" s="182"/>
      <c r="AF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S40" s="183"/>
      <c r="BU40" s="196" t="s">
        <v>225</v>
      </c>
    </row>
    <row r="41" spans="1:91" ht="12.75" customHeight="1" x14ac:dyDescent="0.35">
      <c r="A41" s="177"/>
      <c r="B41" s="182"/>
      <c r="P41" s="183"/>
      <c r="AC41" s="183"/>
      <c r="AE41" s="182"/>
      <c r="AF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U41" s="149"/>
      <c r="AV41" s="149"/>
      <c r="AW41" s="149"/>
      <c r="AX41" s="149"/>
      <c r="AY41" s="149"/>
      <c r="AZ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S41" s="183"/>
      <c r="BU41" s="197" t="s">
        <v>226</v>
      </c>
    </row>
    <row r="42" spans="1:91" x14ac:dyDescent="0.35">
      <c r="A42" s="177"/>
      <c r="B42" s="182"/>
      <c r="P42" s="183"/>
      <c r="AC42" s="183"/>
      <c r="AE42" s="182"/>
      <c r="AF42" s="149"/>
      <c r="AJ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W42" s="149"/>
      <c r="AX42" s="149"/>
      <c r="AY42" s="149"/>
      <c r="AZ42" s="149"/>
      <c r="BB42" s="149"/>
      <c r="BC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S42" s="183"/>
      <c r="BU42" s="197" t="s">
        <v>227</v>
      </c>
    </row>
    <row r="43" spans="1:91" x14ac:dyDescent="0.35">
      <c r="A43" s="177"/>
      <c r="B43" s="182"/>
      <c r="P43" s="183"/>
      <c r="AC43" s="183"/>
      <c r="AE43" s="195"/>
      <c r="AJ43" s="149"/>
      <c r="AK43" s="198"/>
      <c r="AL43" s="198"/>
      <c r="AM43" s="198"/>
      <c r="AN43" s="198"/>
      <c r="AO43" s="198"/>
      <c r="AP43" s="198"/>
      <c r="AQ43" s="198"/>
      <c r="AR43" s="198"/>
      <c r="AS43" s="198"/>
      <c r="AT43" s="198"/>
      <c r="AU43" s="198"/>
      <c r="AV43" s="198"/>
      <c r="AW43" s="198"/>
      <c r="AX43" s="198"/>
      <c r="AY43" s="198"/>
      <c r="AZ43" s="198"/>
      <c r="BA43" s="52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52"/>
      <c r="BQ43" s="52"/>
      <c r="BR43" s="52"/>
      <c r="BS43" s="53"/>
      <c r="BU43" s="197" t="s">
        <v>228</v>
      </c>
    </row>
    <row r="44" spans="1:91" x14ac:dyDescent="0.35">
      <c r="A44" s="177"/>
      <c r="B44" s="182"/>
      <c r="P44" s="183"/>
      <c r="AC44" s="183"/>
      <c r="AE44" s="178"/>
      <c r="AF44" s="49"/>
      <c r="AG44" s="49"/>
      <c r="AH44" s="49"/>
      <c r="AI44" s="49"/>
      <c r="AJ44" s="4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49"/>
      <c r="BQ44" s="49"/>
      <c r="BR44" s="49"/>
      <c r="BS44" s="179"/>
      <c r="BU44" s="193"/>
    </row>
    <row r="45" spans="1:91" ht="13" x14ac:dyDescent="0.35">
      <c r="A45" s="177"/>
      <c r="B45" s="182"/>
      <c r="P45" s="183"/>
      <c r="AC45" s="183"/>
      <c r="AE45" s="182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S45" s="183"/>
      <c r="BU45" s="196" t="s">
        <v>229</v>
      </c>
    </row>
    <row r="46" spans="1:91" x14ac:dyDescent="0.35">
      <c r="A46" s="177"/>
      <c r="B46" s="182"/>
      <c r="P46" s="183"/>
      <c r="AC46" s="183"/>
      <c r="AE46" s="182"/>
      <c r="BS46" s="183"/>
      <c r="BU46" s="193"/>
    </row>
    <row r="47" spans="1:91" ht="13" x14ac:dyDescent="0.35">
      <c r="A47" s="177"/>
      <c r="B47" s="182"/>
      <c r="P47" s="183"/>
      <c r="AC47" s="183"/>
      <c r="AE47" s="182"/>
      <c r="BS47" s="183"/>
      <c r="BU47" s="196" t="s">
        <v>230</v>
      </c>
    </row>
    <row r="48" spans="1:91" x14ac:dyDescent="0.35">
      <c r="A48" s="177"/>
      <c r="B48" s="182"/>
      <c r="P48" s="183"/>
      <c r="AC48" s="183"/>
      <c r="AE48" s="182"/>
      <c r="BS48" s="183"/>
      <c r="BU48" s="193"/>
    </row>
    <row r="49" spans="1:82" ht="13" x14ac:dyDescent="0.35">
      <c r="A49" s="177"/>
      <c r="B49" s="182"/>
      <c r="P49" s="183"/>
      <c r="AC49" s="183"/>
      <c r="AE49" s="182"/>
      <c r="BS49" s="183"/>
      <c r="BU49" s="196" t="s">
        <v>231</v>
      </c>
      <c r="CB49" s="200"/>
      <c r="CD49" s="201"/>
    </row>
    <row r="50" spans="1:82" x14ac:dyDescent="0.35">
      <c r="A50" s="177"/>
      <c r="B50" s="182"/>
      <c r="P50" s="183"/>
      <c r="AC50" s="183"/>
      <c r="AE50" s="182"/>
      <c r="BS50" s="183"/>
      <c r="BT50" s="181"/>
      <c r="CB50" s="200"/>
    </row>
    <row r="51" spans="1:82" x14ac:dyDescent="0.35">
      <c r="A51" s="177"/>
      <c r="B51" s="182"/>
      <c r="P51" s="183"/>
      <c r="AC51" s="183"/>
      <c r="AE51" s="182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BS51" s="183"/>
      <c r="BT51" s="181"/>
    </row>
    <row r="52" spans="1:82" x14ac:dyDescent="0.35">
      <c r="A52" s="177"/>
      <c r="B52" s="182"/>
      <c r="P52" s="183"/>
      <c r="AC52" s="183"/>
      <c r="AE52" s="182"/>
      <c r="AF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 t="s">
        <v>232</v>
      </c>
      <c r="AV52" s="149"/>
      <c r="BS52" s="183"/>
      <c r="BT52" s="181"/>
    </row>
    <row r="53" spans="1:82" x14ac:dyDescent="0.35">
      <c r="A53" s="177"/>
      <c r="B53" s="182"/>
      <c r="P53" s="183"/>
      <c r="AC53" s="183"/>
      <c r="AE53" s="182"/>
      <c r="AF53" s="149"/>
      <c r="AG53" s="149"/>
      <c r="BS53" s="183"/>
      <c r="BT53" s="181"/>
    </row>
    <row r="54" spans="1:82" x14ac:dyDescent="0.35">
      <c r="A54" s="177"/>
      <c r="B54" s="182"/>
      <c r="P54" s="183"/>
      <c r="AC54" s="183"/>
      <c r="AE54" s="182"/>
      <c r="AF54" s="149"/>
      <c r="AG54" s="149"/>
      <c r="BS54" s="183"/>
      <c r="BT54" s="181"/>
    </row>
    <row r="55" spans="1:82" x14ac:dyDescent="0.35">
      <c r="A55" s="177"/>
      <c r="B55" s="182"/>
      <c r="P55" s="183"/>
      <c r="AC55" s="183"/>
      <c r="AE55" s="182"/>
      <c r="AF55" s="149"/>
      <c r="AG55" s="149" t="s">
        <v>233</v>
      </c>
      <c r="BS55" s="183"/>
      <c r="BT55" s="181"/>
    </row>
    <row r="56" spans="1:82" x14ac:dyDescent="0.35">
      <c r="A56" s="177"/>
      <c r="B56" s="195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3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3"/>
      <c r="AE56" s="195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3"/>
      <c r="BT56" s="181"/>
    </row>
    <row r="57" spans="1:82" ht="6.75" customHeight="1" thickBot="1" x14ac:dyDescent="0.4">
      <c r="A57" s="202"/>
      <c r="B57" s="389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390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4"/>
    </row>
    <row r="58" spans="1:82" ht="12.75" customHeight="1" x14ac:dyDescent="0.35">
      <c r="B58" s="182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92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</row>
    <row r="59" spans="1:82" x14ac:dyDescent="0.35">
      <c r="B59" s="182"/>
      <c r="E59" s="149"/>
      <c r="P59" s="183"/>
    </row>
    <row r="60" spans="1:82" ht="19.5" customHeight="1" x14ac:dyDescent="0.35">
      <c r="B60" s="182"/>
      <c r="E60" s="149"/>
      <c r="P60" s="183"/>
    </row>
    <row r="61" spans="1:82" ht="19.5" customHeight="1" x14ac:dyDescent="0.35">
      <c r="B61" s="182"/>
      <c r="E61" s="149"/>
      <c r="P61" s="183"/>
    </row>
    <row r="62" spans="1:82" ht="18" customHeight="1" x14ac:dyDescent="0.35">
      <c r="B62" s="182"/>
      <c r="E62" s="149"/>
      <c r="P62" s="183"/>
    </row>
    <row r="63" spans="1:82" ht="18" customHeight="1" x14ac:dyDescent="0.35">
      <c r="B63" s="182"/>
      <c r="E63" s="149"/>
      <c r="P63" s="183"/>
    </row>
    <row r="64" spans="1:82" x14ac:dyDescent="0.35">
      <c r="B64" s="182"/>
      <c r="P64" s="183"/>
    </row>
    <row r="65" spans="2:16" x14ac:dyDescent="0.35">
      <c r="B65" s="182"/>
      <c r="P65" s="183"/>
    </row>
    <row r="66" spans="2:16" x14ac:dyDescent="0.35">
      <c r="B66" s="195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3"/>
    </row>
  </sheetData>
  <mergeCells count="19">
    <mergeCell ref="BX4:CA4"/>
    <mergeCell ref="AF6:AX7"/>
    <mergeCell ref="BB6:BS7"/>
    <mergeCell ref="BU6:BU7"/>
    <mergeCell ref="H1:BK1"/>
    <mergeCell ref="BL1:BO1"/>
    <mergeCell ref="BP1:BW1"/>
    <mergeCell ref="BX1:CA1"/>
    <mergeCell ref="H2:BK3"/>
    <mergeCell ref="BL2:BO3"/>
    <mergeCell ref="BP2:BS3"/>
    <mergeCell ref="BT2:BW3"/>
    <mergeCell ref="BX2:CA3"/>
    <mergeCell ref="B8:AB9"/>
    <mergeCell ref="BU31:BU32"/>
    <mergeCell ref="H4:BK4"/>
    <mergeCell ref="BL4:BO4"/>
    <mergeCell ref="BP4:BS4"/>
    <mergeCell ref="BT4:BW4"/>
  </mergeCells>
  <printOptions horizontalCentered="1"/>
  <pageMargins left="0.15" right="0.15" top="0.15" bottom="0.15" header="0.15" footer="0.15"/>
  <pageSetup paperSize="8" orientation="landscape" horizontalDpi="300" verticalDpi="300" r:id="rId1"/>
  <headerFooter alignWithMargins="0"/>
  <colBreaks count="1" manualBreakCount="1">
    <brk id="79" max="57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17D4-79CA-4B63-93EC-C45181D45FB0}">
  <sheetPr>
    <pageSetUpPr fitToPage="1"/>
  </sheetPr>
  <dimension ref="A1:AJ82"/>
  <sheetViews>
    <sheetView showGridLines="0" zoomScale="89" zoomScaleNormal="89" workbookViewId="0">
      <selection activeCell="A12" sqref="A12:H26"/>
    </sheetView>
  </sheetViews>
  <sheetFormatPr defaultRowHeight="12.5" x14ac:dyDescent="0.25"/>
  <cols>
    <col min="1" max="1" width="6.54296875" style="18" customWidth="1"/>
    <col min="2" max="6" width="6.6328125" style="18" customWidth="1"/>
    <col min="7" max="8" width="7.6328125" style="18" customWidth="1"/>
    <col min="9" max="9" width="2.453125" style="18" customWidth="1"/>
    <col min="10" max="17" width="10.6328125" style="18" customWidth="1"/>
    <col min="18" max="22" width="9.36328125" style="18" hidden="1" customWidth="1"/>
    <col min="23" max="23" width="9.6328125" style="18" hidden="1" customWidth="1"/>
    <col min="24" max="25" width="9.36328125" style="18" hidden="1" customWidth="1"/>
    <col min="26" max="26" width="37.453125" style="18" hidden="1" customWidth="1"/>
    <col min="27" max="27" width="9.36328125" style="18" hidden="1" customWidth="1"/>
    <col min="28" max="257" width="8.90625" style="18"/>
    <col min="258" max="258" width="6.54296875" style="18" customWidth="1"/>
    <col min="259" max="259" width="9.54296875" style="18" customWidth="1"/>
    <col min="260" max="263" width="6.6328125" style="18" customWidth="1"/>
    <col min="264" max="267" width="7.6328125" style="18" customWidth="1"/>
    <col min="268" max="268" width="8.453125" style="18" customWidth="1"/>
    <col min="269" max="269" width="8.6328125" style="18" customWidth="1"/>
    <col min="270" max="273" width="10.6328125" style="18" customWidth="1"/>
    <col min="274" max="513" width="8.90625" style="18"/>
    <col min="514" max="514" width="6.54296875" style="18" customWidth="1"/>
    <col min="515" max="515" width="9.54296875" style="18" customWidth="1"/>
    <col min="516" max="519" width="6.6328125" style="18" customWidth="1"/>
    <col min="520" max="523" width="7.6328125" style="18" customWidth="1"/>
    <col min="524" max="524" width="8.453125" style="18" customWidth="1"/>
    <col min="525" max="525" width="8.6328125" style="18" customWidth="1"/>
    <col min="526" max="529" width="10.6328125" style="18" customWidth="1"/>
    <col min="530" max="769" width="8.90625" style="18"/>
    <col min="770" max="770" width="6.54296875" style="18" customWidth="1"/>
    <col min="771" max="771" width="9.54296875" style="18" customWidth="1"/>
    <col min="772" max="775" width="6.6328125" style="18" customWidth="1"/>
    <col min="776" max="779" width="7.6328125" style="18" customWidth="1"/>
    <col min="780" max="780" width="8.453125" style="18" customWidth="1"/>
    <col min="781" max="781" width="8.6328125" style="18" customWidth="1"/>
    <col min="782" max="785" width="10.6328125" style="18" customWidth="1"/>
    <col min="786" max="1025" width="8.90625" style="18"/>
    <col min="1026" max="1026" width="6.54296875" style="18" customWidth="1"/>
    <col min="1027" max="1027" width="9.54296875" style="18" customWidth="1"/>
    <col min="1028" max="1031" width="6.6328125" style="18" customWidth="1"/>
    <col min="1032" max="1035" width="7.6328125" style="18" customWidth="1"/>
    <col min="1036" max="1036" width="8.453125" style="18" customWidth="1"/>
    <col min="1037" max="1037" width="8.6328125" style="18" customWidth="1"/>
    <col min="1038" max="1041" width="10.6328125" style="18" customWidth="1"/>
    <col min="1042" max="1281" width="8.90625" style="18"/>
    <col min="1282" max="1282" width="6.54296875" style="18" customWidth="1"/>
    <col min="1283" max="1283" width="9.54296875" style="18" customWidth="1"/>
    <col min="1284" max="1287" width="6.6328125" style="18" customWidth="1"/>
    <col min="1288" max="1291" width="7.6328125" style="18" customWidth="1"/>
    <col min="1292" max="1292" width="8.453125" style="18" customWidth="1"/>
    <col min="1293" max="1293" width="8.6328125" style="18" customWidth="1"/>
    <col min="1294" max="1297" width="10.6328125" style="18" customWidth="1"/>
    <col min="1298" max="1537" width="8.90625" style="18"/>
    <col min="1538" max="1538" width="6.54296875" style="18" customWidth="1"/>
    <col min="1539" max="1539" width="9.54296875" style="18" customWidth="1"/>
    <col min="1540" max="1543" width="6.6328125" style="18" customWidth="1"/>
    <col min="1544" max="1547" width="7.6328125" style="18" customWidth="1"/>
    <col min="1548" max="1548" width="8.453125" style="18" customWidth="1"/>
    <col min="1549" max="1549" width="8.6328125" style="18" customWidth="1"/>
    <col min="1550" max="1553" width="10.6328125" style="18" customWidth="1"/>
    <col min="1554" max="1793" width="8.90625" style="18"/>
    <col min="1794" max="1794" width="6.54296875" style="18" customWidth="1"/>
    <col min="1795" max="1795" width="9.54296875" style="18" customWidth="1"/>
    <col min="1796" max="1799" width="6.6328125" style="18" customWidth="1"/>
    <col min="1800" max="1803" width="7.6328125" style="18" customWidth="1"/>
    <col min="1804" max="1804" width="8.453125" style="18" customWidth="1"/>
    <col min="1805" max="1805" width="8.6328125" style="18" customWidth="1"/>
    <col min="1806" max="1809" width="10.6328125" style="18" customWidth="1"/>
    <col min="1810" max="2049" width="8.90625" style="18"/>
    <col min="2050" max="2050" width="6.54296875" style="18" customWidth="1"/>
    <col min="2051" max="2051" width="9.54296875" style="18" customWidth="1"/>
    <col min="2052" max="2055" width="6.6328125" style="18" customWidth="1"/>
    <col min="2056" max="2059" width="7.6328125" style="18" customWidth="1"/>
    <col min="2060" max="2060" width="8.453125" style="18" customWidth="1"/>
    <col min="2061" max="2061" width="8.6328125" style="18" customWidth="1"/>
    <col min="2062" max="2065" width="10.6328125" style="18" customWidth="1"/>
    <col min="2066" max="2305" width="8.90625" style="18"/>
    <col min="2306" max="2306" width="6.54296875" style="18" customWidth="1"/>
    <col min="2307" max="2307" width="9.54296875" style="18" customWidth="1"/>
    <col min="2308" max="2311" width="6.6328125" style="18" customWidth="1"/>
    <col min="2312" max="2315" width="7.6328125" style="18" customWidth="1"/>
    <col min="2316" max="2316" width="8.453125" style="18" customWidth="1"/>
    <col min="2317" max="2317" width="8.6328125" style="18" customWidth="1"/>
    <col min="2318" max="2321" width="10.6328125" style="18" customWidth="1"/>
    <col min="2322" max="2561" width="8.90625" style="18"/>
    <col min="2562" max="2562" width="6.54296875" style="18" customWidth="1"/>
    <col min="2563" max="2563" width="9.54296875" style="18" customWidth="1"/>
    <col min="2564" max="2567" width="6.6328125" style="18" customWidth="1"/>
    <col min="2568" max="2571" width="7.6328125" style="18" customWidth="1"/>
    <col min="2572" max="2572" width="8.453125" style="18" customWidth="1"/>
    <col min="2573" max="2573" width="8.6328125" style="18" customWidth="1"/>
    <col min="2574" max="2577" width="10.6328125" style="18" customWidth="1"/>
    <col min="2578" max="2817" width="8.90625" style="18"/>
    <col min="2818" max="2818" width="6.54296875" style="18" customWidth="1"/>
    <col min="2819" max="2819" width="9.54296875" style="18" customWidth="1"/>
    <col min="2820" max="2823" width="6.6328125" style="18" customWidth="1"/>
    <col min="2824" max="2827" width="7.6328125" style="18" customWidth="1"/>
    <col min="2828" max="2828" width="8.453125" style="18" customWidth="1"/>
    <col min="2829" max="2829" width="8.6328125" style="18" customWidth="1"/>
    <col min="2830" max="2833" width="10.6328125" style="18" customWidth="1"/>
    <col min="2834" max="3073" width="8.90625" style="18"/>
    <col min="3074" max="3074" width="6.54296875" style="18" customWidth="1"/>
    <col min="3075" max="3075" width="9.54296875" style="18" customWidth="1"/>
    <col min="3076" max="3079" width="6.6328125" style="18" customWidth="1"/>
    <col min="3080" max="3083" width="7.6328125" style="18" customWidth="1"/>
    <col min="3084" max="3084" width="8.453125" style="18" customWidth="1"/>
    <col min="3085" max="3085" width="8.6328125" style="18" customWidth="1"/>
    <col min="3086" max="3089" width="10.6328125" style="18" customWidth="1"/>
    <col min="3090" max="3329" width="8.90625" style="18"/>
    <col min="3330" max="3330" width="6.54296875" style="18" customWidth="1"/>
    <col min="3331" max="3331" width="9.54296875" style="18" customWidth="1"/>
    <col min="3332" max="3335" width="6.6328125" style="18" customWidth="1"/>
    <col min="3336" max="3339" width="7.6328125" style="18" customWidth="1"/>
    <col min="3340" max="3340" width="8.453125" style="18" customWidth="1"/>
    <col min="3341" max="3341" width="8.6328125" style="18" customWidth="1"/>
    <col min="3342" max="3345" width="10.6328125" style="18" customWidth="1"/>
    <col min="3346" max="3585" width="8.90625" style="18"/>
    <col min="3586" max="3586" width="6.54296875" style="18" customWidth="1"/>
    <col min="3587" max="3587" width="9.54296875" style="18" customWidth="1"/>
    <col min="3588" max="3591" width="6.6328125" style="18" customWidth="1"/>
    <col min="3592" max="3595" width="7.6328125" style="18" customWidth="1"/>
    <col min="3596" max="3596" width="8.453125" style="18" customWidth="1"/>
    <col min="3597" max="3597" width="8.6328125" style="18" customWidth="1"/>
    <col min="3598" max="3601" width="10.6328125" style="18" customWidth="1"/>
    <col min="3602" max="3841" width="8.90625" style="18"/>
    <col min="3842" max="3842" width="6.54296875" style="18" customWidth="1"/>
    <col min="3843" max="3843" width="9.54296875" style="18" customWidth="1"/>
    <col min="3844" max="3847" width="6.6328125" style="18" customWidth="1"/>
    <col min="3848" max="3851" width="7.6328125" style="18" customWidth="1"/>
    <col min="3852" max="3852" width="8.453125" style="18" customWidth="1"/>
    <col min="3853" max="3853" width="8.6328125" style="18" customWidth="1"/>
    <col min="3854" max="3857" width="10.6328125" style="18" customWidth="1"/>
    <col min="3858" max="4097" width="8.90625" style="18"/>
    <col min="4098" max="4098" width="6.54296875" style="18" customWidth="1"/>
    <col min="4099" max="4099" width="9.54296875" style="18" customWidth="1"/>
    <col min="4100" max="4103" width="6.6328125" style="18" customWidth="1"/>
    <col min="4104" max="4107" width="7.6328125" style="18" customWidth="1"/>
    <col min="4108" max="4108" width="8.453125" style="18" customWidth="1"/>
    <col min="4109" max="4109" width="8.6328125" style="18" customWidth="1"/>
    <col min="4110" max="4113" width="10.6328125" style="18" customWidth="1"/>
    <col min="4114" max="4353" width="8.90625" style="18"/>
    <col min="4354" max="4354" width="6.54296875" style="18" customWidth="1"/>
    <col min="4355" max="4355" width="9.54296875" style="18" customWidth="1"/>
    <col min="4356" max="4359" width="6.6328125" style="18" customWidth="1"/>
    <col min="4360" max="4363" width="7.6328125" style="18" customWidth="1"/>
    <col min="4364" max="4364" width="8.453125" style="18" customWidth="1"/>
    <col min="4365" max="4365" width="8.6328125" style="18" customWidth="1"/>
    <col min="4366" max="4369" width="10.6328125" style="18" customWidth="1"/>
    <col min="4370" max="4609" width="8.90625" style="18"/>
    <col min="4610" max="4610" width="6.54296875" style="18" customWidth="1"/>
    <col min="4611" max="4611" width="9.54296875" style="18" customWidth="1"/>
    <col min="4612" max="4615" width="6.6328125" style="18" customWidth="1"/>
    <col min="4616" max="4619" width="7.6328125" style="18" customWidth="1"/>
    <col min="4620" max="4620" width="8.453125" style="18" customWidth="1"/>
    <col min="4621" max="4621" width="8.6328125" style="18" customWidth="1"/>
    <col min="4622" max="4625" width="10.6328125" style="18" customWidth="1"/>
    <col min="4626" max="4865" width="8.90625" style="18"/>
    <col min="4866" max="4866" width="6.54296875" style="18" customWidth="1"/>
    <col min="4867" max="4867" width="9.54296875" style="18" customWidth="1"/>
    <col min="4868" max="4871" width="6.6328125" style="18" customWidth="1"/>
    <col min="4872" max="4875" width="7.6328125" style="18" customWidth="1"/>
    <col min="4876" max="4876" width="8.453125" style="18" customWidth="1"/>
    <col min="4877" max="4877" width="8.6328125" style="18" customWidth="1"/>
    <col min="4878" max="4881" width="10.6328125" style="18" customWidth="1"/>
    <col min="4882" max="5121" width="8.90625" style="18"/>
    <col min="5122" max="5122" width="6.54296875" style="18" customWidth="1"/>
    <col min="5123" max="5123" width="9.54296875" style="18" customWidth="1"/>
    <col min="5124" max="5127" width="6.6328125" style="18" customWidth="1"/>
    <col min="5128" max="5131" width="7.6328125" style="18" customWidth="1"/>
    <col min="5132" max="5132" width="8.453125" style="18" customWidth="1"/>
    <col min="5133" max="5133" width="8.6328125" style="18" customWidth="1"/>
    <col min="5134" max="5137" width="10.6328125" style="18" customWidth="1"/>
    <col min="5138" max="5377" width="8.90625" style="18"/>
    <col min="5378" max="5378" width="6.54296875" style="18" customWidth="1"/>
    <col min="5379" max="5379" width="9.54296875" style="18" customWidth="1"/>
    <col min="5380" max="5383" width="6.6328125" style="18" customWidth="1"/>
    <col min="5384" max="5387" width="7.6328125" style="18" customWidth="1"/>
    <col min="5388" max="5388" width="8.453125" style="18" customWidth="1"/>
    <col min="5389" max="5389" width="8.6328125" style="18" customWidth="1"/>
    <col min="5390" max="5393" width="10.6328125" style="18" customWidth="1"/>
    <col min="5394" max="5633" width="8.90625" style="18"/>
    <col min="5634" max="5634" width="6.54296875" style="18" customWidth="1"/>
    <col min="5635" max="5635" width="9.54296875" style="18" customWidth="1"/>
    <col min="5636" max="5639" width="6.6328125" style="18" customWidth="1"/>
    <col min="5640" max="5643" width="7.6328125" style="18" customWidth="1"/>
    <col min="5644" max="5644" width="8.453125" style="18" customWidth="1"/>
    <col min="5645" max="5645" width="8.6328125" style="18" customWidth="1"/>
    <col min="5646" max="5649" width="10.6328125" style="18" customWidth="1"/>
    <col min="5650" max="5889" width="8.90625" style="18"/>
    <col min="5890" max="5890" width="6.54296875" style="18" customWidth="1"/>
    <col min="5891" max="5891" width="9.54296875" style="18" customWidth="1"/>
    <col min="5892" max="5895" width="6.6328125" style="18" customWidth="1"/>
    <col min="5896" max="5899" width="7.6328125" style="18" customWidth="1"/>
    <col min="5900" max="5900" width="8.453125" style="18" customWidth="1"/>
    <col min="5901" max="5901" width="8.6328125" style="18" customWidth="1"/>
    <col min="5902" max="5905" width="10.6328125" style="18" customWidth="1"/>
    <col min="5906" max="6145" width="8.90625" style="18"/>
    <col min="6146" max="6146" width="6.54296875" style="18" customWidth="1"/>
    <col min="6147" max="6147" width="9.54296875" style="18" customWidth="1"/>
    <col min="6148" max="6151" width="6.6328125" style="18" customWidth="1"/>
    <col min="6152" max="6155" width="7.6328125" style="18" customWidth="1"/>
    <col min="6156" max="6156" width="8.453125" style="18" customWidth="1"/>
    <col min="6157" max="6157" width="8.6328125" style="18" customWidth="1"/>
    <col min="6158" max="6161" width="10.6328125" style="18" customWidth="1"/>
    <col min="6162" max="6401" width="8.90625" style="18"/>
    <col min="6402" max="6402" width="6.54296875" style="18" customWidth="1"/>
    <col min="6403" max="6403" width="9.54296875" style="18" customWidth="1"/>
    <col min="6404" max="6407" width="6.6328125" style="18" customWidth="1"/>
    <col min="6408" max="6411" width="7.6328125" style="18" customWidth="1"/>
    <col min="6412" max="6412" width="8.453125" style="18" customWidth="1"/>
    <col min="6413" max="6413" width="8.6328125" style="18" customWidth="1"/>
    <col min="6414" max="6417" width="10.6328125" style="18" customWidth="1"/>
    <col min="6418" max="6657" width="8.90625" style="18"/>
    <col min="6658" max="6658" width="6.54296875" style="18" customWidth="1"/>
    <col min="6659" max="6659" width="9.54296875" style="18" customWidth="1"/>
    <col min="6660" max="6663" width="6.6328125" style="18" customWidth="1"/>
    <col min="6664" max="6667" width="7.6328125" style="18" customWidth="1"/>
    <col min="6668" max="6668" width="8.453125" style="18" customWidth="1"/>
    <col min="6669" max="6669" width="8.6328125" style="18" customWidth="1"/>
    <col min="6670" max="6673" width="10.6328125" style="18" customWidth="1"/>
    <col min="6674" max="6913" width="8.90625" style="18"/>
    <col min="6914" max="6914" width="6.54296875" style="18" customWidth="1"/>
    <col min="6915" max="6915" width="9.54296875" style="18" customWidth="1"/>
    <col min="6916" max="6919" width="6.6328125" style="18" customWidth="1"/>
    <col min="6920" max="6923" width="7.6328125" style="18" customWidth="1"/>
    <col min="6924" max="6924" width="8.453125" style="18" customWidth="1"/>
    <col min="6925" max="6925" width="8.6328125" style="18" customWidth="1"/>
    <col min="6926" max="6929" width="10.6328125" style="18" customWidth="1"/>
    <col min="6930" max="7169" width="8.90625" style="18"/>
    <col min="7170" max="7170" width="6.54296875" style="18" customWidth="1"/>
    <col min="7171" max="7171" width="9.54296875" style="18" customWidth="1"/>
    <col min="7172" max="7175" width="6.6328125" style="18" customWidth="1"/>
    <col min="7176" max="7179" width="7.6328125" style="18" customWidth="1"/>
    <col min="7180" max="7180" width="8.453125" style="18" customWidth="1"/>
    <col min="7181" max="7181" width="8.6328125" style="18" customWidth="1"/>
    <col min="7182" max="7185" width="10.6328125" style="18" customWidth="1"/>
    <col min="7186" max="7425" width="8.90625" style="18"/>
    <col min="7426" max="7426" width="6.54296875" style="18" customWidth="1"/>
    <col min="7427" max="7427" width="9.54296875" style="18" customWidth="1"/>
    <col min="7428" max="7431" width="6.6328125" style="18" customWidth="1"/>
    <col min="7432" max="7435" width="7.6328125" style="18" customWidth="1"/>
    <col min="7436" max="7436" width="8.453125" style="18" customWidth="1"/>
    <col min="7437" max="7437" width="8.6328125" style="18" customWidth="1"/>
    <col min="7438" max="7441" width="10.6328125" style="18" customWidth="1"/>
    <col min="7442" max="7681" width="8.90625" style="18"/>
    <col min="7682" max="7682" width="6.54296875" style="18" customWidth="1"/>
    <col min="7683" max="7683" width="9.54296875" style="18" customWidth="1"/>
    <col min="7684" max="7687" width="6.6328125" style="18" customWidth="1"/>
    <col min="7688" max="7691" width="7.6328125" style="18" customWidth="1"/>
    <col min="7692" max="7692" width="8.453125" style="18" customWidth="1"/>
    <col min="7693" max="7693" width="8.6328125" style="18" customWidth="1"/>
    <col min="7694" max="7697" width="10.6328125" style="18" customWidth="1"/>
    <col min="7698" max="7937" width="8.90625" style="18"/>
    <col min="7938" max="7938" width="6.54296875" style="18" customWidth="1"/>
    <col min="7939" max="7939" width="9.54296875" style="18" customWidth="1"/>
    <col min="7940" max="7943" width="6.6328125" style="18" customWidth="1"/>
    <col min="7944" max="7947" width="7.6328125" style="18" customWidth="1"/>
    <col min="7948" max="7948" width="8.453125" style="18" customWidth="1"/>
    <col min="7949" max="7949" width="8.6328125" style="18" customWidth="1"/>
    <col min="7950" max="7953" width="10.6328125" style="18" customWidth="1"/>
    <col min="7954" max="8193" width="8.90625" style="18"/>
    <col min="8194" max="8194" width="6.54296875" style="18" customWidth="1"/>
    <col min="8195" max="8195" width="9.54296875" style="18" customWidth="1"/>
    <col min="8196" max="8199" width="6.6328125" style="18" customWidth="1"/>
    <col min="8200" max="8203" width="7.6328125" style="18" customWidth="1"/>
    <col min="8204" max="8204" width="8.453125" style="18" customWidth="1"/>
    <col min="8205" max="8205" width="8.6328125" style="18" customWidth="1"/>
    <col min="8206" max="8209" width="10.6328125" style="18" customWidth="1"/>
    <col min="8210" max="8449" width="8.90625" style="18"/>
    <col min="8450" max="8450" width="6.54296875" style="18" customWidth="1"/>
    <col min="8451" max="8451" width="9.54296875" style="18" customWidth="1"/>
    <col min="8452" max="8455" width="6.6328125" style="18" customWidth="1"/>
    <col min="8456" max="8459" width="7.6328125" style="18" customWidth="1"/>
    <col min="8460" max="8460" width="8.453125" style="18" customWidth="1"/>
    <col min="8461" max="8461" width="8.6328125" style="18" customWidth="1"/>
    <col min="8462" max="8465" width="10.6328125" style="18" customWidth="1"/>
    <col min="8466" max="8705" width="8.90625" style="18"/>
    <col min="8706" max="8706" width="6.54296875" style="18" customWidth="1"/>
    <col min="8707" max="8707" width="9.54296875" style="18" customWidth="1"/>
    <col min="8708" max="8711" width="6.6328125" style="18" customWidth="1"/>
    <col min="8712" max="8715" width="7.6328125" style="18" customWidth="1"/>
    <col min="8716" max="8716" width="8.453125" style="18" customWidth="1"/>
    <col min="8717" max="8717" width="8.6328125" style="18" customWidth="1"/>
    <col min="8718" max="8721" width="10.6328125" style="18" customWidth="1"/>
    <col min="8722" max="8961" width="8.90625" style="18"/>
    <col min="8962" max="8962" width="6.54296875" style="18" customWidth="1"/>
    <col min="8963" max="8963" width="9.54296875" style="18" customWidth="1"/>
    <col min="8964" max="8967" width="6.6328125" style="18" customWidth="1"/>
    <col min="8968" max="8971" width="7.6328125" style="18" customWidth="1"/>
    <col min="8972" max="8972" width="8.453125" style="18" customWidth="1"/>
    <col min="8973" max="8973" width="8.6328125" style="18" customWidth="1"/>
    <col min="8974" max="8977" width="10.6328125" style="18" customWidth="1"/>
    <col min="8978" max="9217" width="8.90625" style="18"/>
    <col min="9218" max="9218" width="6.54296875" style="18" customWidth="1"/>
    <col min="9219" max="9219" width="9.54296875" style="18" customWidth="1"/>
    <col min="9220" max="9223" width="6.6328125" style="18" customWidth="1"/>
    <col min="9224" max="9227" width="7.6328125" style="18" customWidth="1"/>
    <col min="9228" max="9228" width="8.453125" style="18" customWidth="1"/>
    <col min="9229" max="9229" width="8.6328125" style="18" customWidth="1"/>
    <col min="9230" max="9233" width="10.6328125" style="18" customWidth="1"/>
    <col min="9234" max="9473" width="8.90625" style="18"/>
    <col min="9474" max="9474" width="6.54296875" style="18" customWidth="1"/>
    <col min="9475" max="9475" width="9.54296875" style="18" customWidth="1"/>
    <col min="9476" max="9479" width="6.6328125" style="18" customWidth="1"/>
    <col min="9480" max="9483" width="7.6328125" style="18" customWidth="1"/>
    <col min="9484" max="9484" width="8.453125" style="18" customWidth="1"/>
    <col min="9485" max="9485" width="8.6328125" style="18" customWidth="1"/>
    <col min="9486" max="9489" width="10.6328125" style="18" customWidth="1"/>
    <col min="9490" max="9729" width="8.90625" style="18"/>
    <col min="9730" max="9730" width="6.54296875" style="18" customWidth="1"/>
    <col min="9731" max="9731" width="9.54296875" style="18" customWidth="1"/>
    <col min="9732" max="9735" width="6.6328125" style="18" customWidth="1"/>
    <col min="9736" max="9739" width="7.6328125" style="18" customWidth="1"/>
    <col min="9740" max="9740" width="8.453125" style="18" customWidth="1"/>
    <col min="9741" max="9741" width="8.6328125" style="18" customWidth="1"/>
    <col min="9742" max="9745" width="10.6328125" style="18" customWidth="1"/>
    <col min="9746" max="9985" width="8.90625" style="18"/>
    <col min="9986" max="9986" width="6.54296875" style="18" customWidth="1"/>
    <col min="9987" max="9987" width="9.54296875" style="18" customWidth="1"/>
    <col min="9988" max="9991" width="6.6328125" style="18" customWidth="1"/>
    <col min="9992" max="9995" width="7.6328125" style="18" customWidth="1"/>
    <col min="9996" max="9996" width="8.453125" style="18" customWidth="1"/>
    <col min="9997" max="9997" width="8.6328125" style="18" customWidth="1"/>
    <col min="9998" max="10001" width="10.6328125" style="18" customWidth="1"/>
    <col min="10002" max="10241" width="8.90625" style="18"/>
    <col min="10242" max="10242" width="6.54296875" style="18" customWidth="1"/>
    <col min="10243" max="10243" width="9.54296875" style="18" customWidth="1"/>
    <col min="10244" max="10247" width="6.6328125" style="18" customWidth="1"/>
    <col min="10248" max="10251" width="7.6328125" style="18" customWidth="1"/>
    <col min="10252" max="10252" width="8.453125" style="18" customWidth="1"/>
    <col min="10253" max="10253" width="8.6328125" style="18" customWidth="1"/>
    <col min="10254" max="10257" width="10.6328125" style="18" customWidth="1"/>
    <col min="10258" max="10497" width="8.90625" style="18"/>
    <col min="10498" max="10498" width="6.54296875" style="18" customWidth="1"/>
    <col min="10499" max="10499" width="9.54296875" style="18" customWidth="1"/>
    <col min="10500" max="10503" width="6.6328125" style="18" customWidth="1"/>
    <col min="10504" max="10507" width="7.6328125" style="18" customWidth="1"/>
    <col min="10508" max="10508" width="8.453125" style="18" customWidth="1"/>
    <col min="10509" max="10509" width="8.6328125" style="18" customWidth="1"/>
    <col min="10510" max="10513" width="10.6328125" style="18" customWidth="1"/>
    <col min="10514" max="10753" width="8.90625" style="18"/>
    <col min="10754" max="10754" width="6.54296875" style="18" customWidth="1"/>
    <col min="10755" max="10755" width="9.54296875" style="18" customWidth="1"/>
    <col min="10756" max="10759" width="6.6328125" style="18" customWidth="1"/>
    <col min="10760" max="10763" width="7.6328125" style="18" customWidth="1"/>
    <col min="10764" max="10764" width="8.453125" style="18" customWidth="1"/>
    <col min="10765" max="10765" width="8.6328125" style="18" customWidth="1"/>
    <col min="10766" max="10769" width="10.6328125" style="18" customWidth="1"/>
    <col min="10770" max="11009" width="8.90625" style="18"/>
    <col min="11010" max="11010" width="6.54296875" style="18" customWidth="1"/>
    <col min="11011" max="11011" width="9.54296875" style="18" customWidth="1"/>
    <col min="11012" max="11015" width="6.6328125" style="18" customWidth="1"/>
    <col min="11016" max="11019" width="7.6328125" style="18" customWidth="1"/>
    <col min="11020" max="11020" width="8.453125" style="18" customWidth="1"/>
    <col min="11021" max="11021" width="8.6328125" style="18" customWidth="1"/>
    <col min="11022" max="11025" width="10.6328125" style="18" customWidth="1"/>
    <col min="11026" max="11265" width="8.90625" style="18"/>
    <col min="11266" max="11266" width="6.54296875" style="18" customWidth="1"/>
    <col min="11267" max="11267" width="9.54296875" style="18" customWidth="1"/>
    <col min="11268" max="11271" width="6.6328125" style="18" customWidth="1"/>
    <col min="11272" max="11275" width="7.6328125" style="18" customWidth="1"/>
    <col min="11276" max="11276" width="8.453125" style="18" customWidth="1"/>
    <col min="11277" max="11277" width="8.6328125" style="18" customWidth="1"/>
    <col min="11278" max="11281" width="10.6328125" style="18" customWidth="1"/>
    <col min="11282" max="11521" width="8.90625" style="18"/>
    <col min="11522" max="11522" width="6.54296875" style="18" customWidth="1"/>
    <col min="11523" max="11523" width="9.54296875" style="18" customWidth="1"/>
    <col min="11524" max="11527" width="6.6328125" style="18" customWidth="1"/>
    <col min="11528" max="11531" width="7.6328125" style="18" customWidth="1"/>
    <col min="11532" max="11532" width="8.453125" style="18" customWidth="1"/>
    <col min="11533" max="11533" width="8.6328125" style="18" customWidth="1"/>
    <col min="11534" max="11537" width="10.6328125" style="18" customWidth="1"/>
    <col min="11538" max="11777" width="8.90625" style="18"/>
    <col min="11778" max="11778" width="6.54296875" style="18" customWidth="1"/>
    <col min="11779" max="11779" width="9.54296875" style="18" customWidth="1"/>
    <col min="11780" max="11783" width="6.6328125" style="18" customWidth="1"/>
    <col min="11784" max="11787" width="7.6328125" style="18" customWidth="1"/>
    <col min="11788" max="11788" width="8.453125" style="18" customWidth="1"/>
    <col min="11789" max="11789" width="8.6328125" style="18" customWidth="1"/>
    <col min="11790" max="11793" width="10.6328125" style="18" customWidth="1"/>
    <col min="11794" max="12033" width="8.90625" style="18"/>
    <col min="12034" max="12034" width="6.54296875" style="18" customWidth="1"/>
    <col min="12035" max="12035" width="9.54296875" style="18" customWidth="1"/>
    <col min="12036" max="12039" width="6.6328125" style="18" customWidth="1"/>
    <col min="12040" max="12043" width="7.6328125" style="18" customWidth="1"/>
    <col min="12044" max="12044" width="8.453125" style="18" customWidth="1"/>
    <col min="12045" max="12045" width="8.6328125" style="18" customWidth="1"/>
    <col min="12046" max="12049" width="10.6328125" style="18" customWidth="1"/>
    <col min="12050" max="12289" width="8.90625" style="18"/>
    <col min="12290" max="12290" width="6.54296875" style="18" customWidth="1"/>
    <col min="12291" max="12291" width="9.54296875" style="18" customWidth="1"/>
    <col min="12292" max="12295" width="6.6328125" style="18" customWidth="1"/>
    <col min="12296" max="12299" width="7.6328125" style="18" customWidth="1"/>
    <col min="12300" max="12300" width="8.453125" style="18" customWidth="1"/>
    <col min="12301" max="12301" width="8.6328125" style="18" customWidth="1"/>
    <col min="12302" max="12305" width="10.6328125" style="18" customWidth="1"/>
    <col min="12306" max="12545" width="8.90625" style="18"/>
    <col min="12546" max="12546" width="6.54296875" style="18" customWidth="1"/>
    <col min="12547" max="12547" width="9.54296875" style="18" customWidth="1"/>
    <col min="12548" max="12551" width="6.6328125" style="18" customWidth="1"/>
    <col min="12552" max="12555" width="7.6328125" style="18" customWidth="1"/>
    <col min="12556" max="12556" width="8.453125" style="18" customWidth="1"/>
    <col min="12557" max="12557" width="8.6328125" style="18" customWidth="1"/>
    <col min="12558" max="12561" width="10.6328125" style="18" customWidth="1"/>
    <col min="12562" max="12801" width="8.90625" style="18"/>
    <col min="12802" max="12802" width="6.54296875" style="18" customWidth="1"/>
    <col min="12803" max="12803" width="9.54296875" style="18" customWidth="1"/>
    <col min="12804" max="12807" width="6.6328125" style="18" customWidth="1"/>
    <col min="12808" max="12811" width="7.6328125" style="18" customWidth="1"/>
    <col min="12812" max="12812" width="8.453125" style="18" customWidth="1"/>
    <col min="12813" max="12813" width="8.6328125" style="18" customWidth="1"/>
    <col min="12814" max="12817" width="10.6328125" style="18" customWidth="1"/>
    <col min="12818" max="13057" width="8.90625" style="18"/>
    <col min="13058" max="13058" width="6.54296875" style="18" customWidth="1"/>
    <col min="13059" max="13059" width="9.54296875" style="18" customWidth="1"/>
    <col min="13060" max="13063" width="6.6328125" style="18" customWidth="1"/>
    <col min="13064" max="13067" width="7.6328125" style="18" customWidth="1"/>
    <col min="13068" max="13068" width="8.453125" style="18" customWidth="1"/>
    <col min="13069" max="13069" width="8.6328125" style="18" customWidth="1"/>
    <col min="13070" max="13073" width="10.6328125" style="18" customWidth="1"/>
    <col min="13074" max="13313" width="8.90625" style="18"/>
    <col min="13314" max="13314" width="6.54296875" style="18" customWidth="1"/>
    <col min="13315" max="13315" width="9.54296875" style="18" customWidth="1"/>
    <col min="13316" max="13319" width="6.6328125" style="18" customWidth="1"/>
    <col min="13320" max="13323" width="7.6328125" style="18" customWidth="1"/>
    <col min="13324" max="13324" width="8.453125" style="18" customWidth="1"/>
    <col min="13325" max="13325" width="8.6328125" style="18" customWidth="1"/>
    <col min="13326" max="13329" width="10.6328125" style="18" customWidth="1"/>
    <col min="13330" max="13569" width="8.90625" style="18"/>
    <col min="13570" max="13570" width="6.54296875" style="18" customWidth="1"/>
    <col min="13571" max="13571" width="9.54296875" style="18" customWidth="1"/>
    <col min="13572" max="13575" width="6.6328125" style="18" customWidth="1"/>
    <col min="13576" max="13579" width="7.6328125" style="18" customWidth="1"/>
    <col min="13580" max="13580" width="8.453125" style="18" customWidth="1"/>
    <col min="13581" max="13581" width="8.6328125" style="18" customWidth="1"/>
    <col min="13582" max="13585" width="10.6328125" style="18" customWidth="1"/>
    <col min="13586" max="13825" width="8.90625" style="18"/>
    <col min="13826" max="13826" width="6.54296875" style="18" customWidth="1"/>
    <col min="13827" max="13827" width="9.54296875" style="18" customWidth="1"/>
    <col min="13828" max="13831" width="6.6328125" style="18" customWidth="1"/>
    <col min="13832" max="13835" width="7.6328125" style="18" customWidth="1"/>
    <col min="13836" max="13836" width="8.453125" style="18" customWidth="1"/>
    <col min="13837" max="13837" width="8.6328125" style="18" customWidth="1"/>
    <col min="13838" max="13841" width="10.6328125" style="18" customWidth="1"/>
    <col min="13842" max="14081" width="8.90625" style="18"/>
    <col min="14082" max="14082" width="6.54296875" style="18" customWidth="1"/>
    <col min="14083" max="14083" width="9.54296875" style="18" customWidth="1"/>
    <col min="14084" max="14087" width="6.6328125" style="18" customWidth="1"/>
    <col min="14088" max="14091" width="7.6328125" style="18" customWidth="1"/>
    <col min="14092" max="14092" width="8.453125" style="18" customWidth="1"/>
    <col min="14093" max="14093" width="8.6328125" style="18" customWidth="1"/>
    <col min="14094" max="14097" width="10.6328125" style="18" customWidth="1"/>
    <col min="14098" max="14337" width="8.90625" style="18"/>
    <col min="14338" max="14338" width="6.54296875" style="18" customWidth="1"/>
    <col min="14339" max="14339" width="9.54296875" style="18" customWidth="1"/>
    <col min="14340" max="14343" width="6.6328125" style="18" customWidth="1"/>
    <col min="14344" max="14347" width="7.6328125" style="18" customWidth="1"/>
    <col min="14348" max="14348" width="8.453125" style="18" customWidth="1"/>
    <col min="14349" max="14349" width="8.6328125" style="18" customWidth="1"/>
    <col min="14350" max="14353" width="10.6328125" style="18" customWidth="1"/>
    <col min="14354" max="14593" width="8.90625" style="18"/>
    <col min="14594" max="14594" width="6.54296875" style="18" customWidth="1"/>
    <col min="14595" max="14595" width="9.54296875" style="18" customWidth="1"/>
    <col min="14596" max="14599" width="6.6328125" style="18" customWidth="1"/>
    <col min="14600" max="14603" width="7.6328125" style="18" customWidth="1"/>
    <col min="14604" max="14604" width="8.453125" style="18" customWidth="1"/>
    <col min="14605" max="14605" width="8.6328125" style="18" customWidth="1"/>
    <col min="14606" max="14609" width="10.6328125" style="18" customWidth="1"/>
    <col min="14610" max="14849" width="8.90625" style="18"/>
    <col min="14850" max="14850" width="6.54296875" style="18" customWidth="1"/>
    <col min="14851" max="14851" width="9.54296875" style="18" customWidth="1"/>
    <col min="14852" max="14855" width="6.6328125" style="18" customWidth="1"/>
    <col min="14856" max="14859" width="7.6328125" style="18" customWidth="1"/>
    <col min="14860" max="14860" width="8.453125" style="18" customWidth="1"/>
    <col min="14861" max="14861" width="8.6328125" style="18" customWidth="1"/>
    <col min="14862" max="14865" width="10.6328125" style="18" customWidth="1"/>
    <col min="14866" max="15105" width="8.90625" style="18"/>
    <col min="15106" max="15106" width="6.54296875" style="18" customWidth="1"/>
    <col min="15107" max="15107" width="9.54296875" style="18" customWidth="1"/>
    <col min="15108" max="15111" width="6.6328125" style="18" customWidth="1"/>
    <col min="15112" max="15115" width="7.6328125" style="18" customWidth="1"/>
    <col min="15116" max="15116" width="8.453125" style="18" customWidth="1"/>
    <col min="15117" max="15117" width="8.6328125" style="18" customWidth="1"/>
    <col min="15118" max="15121" width="10.6328125" style="18" customWidth="1"/>
    <col min="15122" max="15361" width="8.90625" style="18"/>
    <col min="15362" max="15362" width="6.54296875" style="18" customWidth="1"/>
    <col min="15363" max="15363" width="9.54296875" style="18" customWidth="1"/>
    <col min="15364" max="15367" width="6.6328125" style="18" customWidth="1"/>
    <col min="15368" max="15371" width="7.6328125" style="18" customWidth="1"/>
    <col min="15372" max="15372" width="8.453125" style="18" customWidth="1"/>
    <col min="15373" max="15373" width="8.6328125" style="18" customWidth="1"/>
    <col min="15374" max="15377" width="10.6328125" style="18" customWidth="1"/>
    <col min="15378" max="15617" width="8.90625" style="18"/>
    <col min="15618" max="15618" width="6.54296875" style="18" customWidth="1"/>
    <col min="15619" max="15619" width="9.54296875" style="18" customWidth="1"/>
    <col min="15620" max="15623" width="6.6328125" style="18" customWidth="1"/>
    <col min="15624" max="15627" width="7.6328125" style="18" customWidth="1"/>
    <col min="15628" max="15628" width="8.453125" style="18" customWidth="1"/>
    <col min="15629" max="15629" width="8.6328125" style="18" customWidth="1"/>
    <col min="15630" max="15633" width="10.6328125" style="18" customWidth="1"/>
    <col min="15634" max="15873" width="8.90625" style="18"/>
    <col min="15874" max="15874" width="6.54296875" style="18" customWidth="1"/>
    <col min="15875" max="15875" width="9.54296875" style="18" customWidth="1"/>
    <col min="15876" max="15879" width="6.6328125" style="18" customWidth="1"/>
    <col min="15880" max="15883" width="7.6328125" style="18" customWidth="1"/>
    <col min="15884" max="15884" width="8.453125" style="18" customWidth="1"/>
    <col min="15885" max="15885" width="8.6328125" style="18" customWidth="1"/>
    <col min="15886" max="15889" width="10.6328125" style="18" customWidth="1"/>
    <col min="15890" max="16129" width="8.90625" style="18"/>
    <col min="16130" max="16130" width="6.54296875" style="18" customWidth="1"/>
    <col min="16131" max="16131" width="9.54296875" style="18" customWidth="1"/>
    <col min="16132" max="16135" width="6.6328125" style="18" customWidth="1"/>
    <col min="16136" max="16139" width="7.6328125" style="18" customWidth="1"/>
    <col min="16140" max="16140" width="8.453125" style="18" customWidth="1"/>
    <col min="16141" max="16141" width="8.6328125" style="18" customWidth="1"/>
    <col min="16142" max="16145" width="10.6328125" style="18" customWidth="1"/>
    <col min="16146" max="16384" width="8.90625" style="18"/>
  </cols>
  <sheetData>
    <row r="1" spans="1:26" ht="13" thickBot="1" x14ac:dyDescent="0.3"/>
    <row r="2" spans="1:26" ht="24" customHeight="1" thickTop="1" x14ac:dyDescent="0.35">
      <c r="A2" s="206"/>
      <c r="B2" s="598"/>
      <c r="C2" s="599"/>
      <c r="D2" s="599"/>
      <c r="E2" s="599"/>
      <c r="F2" s="355"/>
      <c r="G2" s="600" t="s">
        <v>268</v>
      </c>
      <c r="H2" s="601"/>
      <c r="I2" s="601"/>
      <c r="J2" s="601"/>
      <c r="K2" s="601"/>
      <c r="L2" s="601"/>
      <c r="M2" s="602"/>
      <c r="N2" s="606" t="s">
        <v>25</v>
      </c>
      <c r="O2" s="607"/>
      <c r="P2" s="608"/>
      <c r="Q2" s="19"/>
      <c r="S2" s="20" t="s">
        <v>0</v>
      </c>
      <c r="T2" s="20" t="s">
        <v>26</v>
      </c>
      <c r="U2" s="20" t="s">
        <v>27</v>
      </c>
      <c r="V2" s="20" t="s">
        <v>28</v>
      </c>
      <c r="W2" s="20" t="s">
        <v>29</v>
      </c>
      <c r="X2" s="20" t="s">
        <v>30</v>
      </c>
      <c r="Y2" s="20" t="s">
        <v>31</v>
      </c>
      <c r="Z2" s="20" t="s">
        <v>32</v>
      </c>
    </row>
    <row r="3" spans="1:26" ht="19.5" customHeight="1" thickBot="1" x14ac:dyDescent="0.3">
      <c r="A3" s="609"/>
      <c r="B3" s="610"/>
      <c r="C3" s="611"/>
      <c r="D3" s="611"/>
      <c r="E3" s="611"/>
      <c r="F3" s="612"/>
      <c r="G3" s="603"/>
      <c r="H3" s="604"/>
      <c r="I3" s="604"/>
      <c r="J3" s="604"/>
      <c r="K3" s="604"/>
      <c r="L3" s="604"/>
      <c r="M3" s="605"/>
      <c r="N3" s="613" t="s">
        <v>33</v>
      </c>
      <c r="O3" s="614"/>
      <c r="P3" s="615"/>
      <c r="Q3" s="21"/>
      <c r="S3" s="20">
        <f>B6</f>
        <v>0</v>
      </c>
      <c r="T3" s="20">
        <f>J4</f>
        <v>0</v>
      </c>
      <c r="U3" s="20">
        <f>J5</f>
        <v>0</v>
      </c>
      <c r="V3" s="20">
        <f>J6</f>
        <v>0</v>
      </c>
      <c r="W3" s="20">
        <f>J7</f>
        <v>0</v>
      </c>
      <c r="X3" s="20">
        <f>J8</f>
        <v>0</v>
      </c>
      <c r="Y3" s="20">
        <f>P5</f>
        <v>0</v>
      </c>
      <c r="Z3" s="20">
        <f>C9</f>
        <v>0</v>
      </c>
    </row>
    <row r="4" spans="1:26" ht="18.75" customHeight="1" thickTop="1" x14ac:dyDescent="0.25">
      <c r="A4" s="609"/>
      <c r="B4" s="610"/>
      <c r="C4" s="611"/>
      <c r="D4" s="611"/>
      <c r="E4" s="611"/>
      <c r="F4" s="612"/>
      <c r="G4" s="207" t="s">
        <v>34</v>
      </c>
      <c r="H4" s="208"/>
      <c r="I4" s="209" t="s">
        <v>6</v>
      </c>
      <c r="J4" s="210"/>
      <c r="K4" s="356"/>
      <c r="L4" s="356"/>
      <c r="M4" s="356"/>
      <c r="N4" s="616"/>
      <c r="O4" s="617"/>
      <c r="P4" s="618"/>
      <c r="Q4" s="21"/>
    </row>
    <row r="5" spans="1:26" ht="18.75" customHeight="1" x14ac:dyDescent="0.25">
      <c r="A5" s="594"/>
      <c r="B5" s="595"/>
      <c r="C5" s="596"/>
      <c r="D5" s="596"/>
      <c r="E5" s="596"/>
      <c r="F5" s="597"/>
      <c r="G5" s="211" t="s">
        <v>27</v>
      </c>
      <c r="H5" s="212"/>
      <c r="I5" s="212" t="s">
        <v>6</v>
      </c>
      <c r="J5" s="213"/>
      <c r="K5" s="214"/>
      <c r="L5" s="214"/>
      <c r="M5" s="356"/>
      <c r="N5" s="215" t="s">
        <v>35</v>
      </c>
      <c r="O5" s="216"/>
      <c r="P5" s="357"/>
      <c r="Q5" s="22"/>
    </row>
    <row r="6" spans="1:26" ht="18" customHeight="1" x14ac:dyDescent="0.25">
      <c r="A6" s="217" t="s">
        <v>36</v>
      </c>
      <c r="B6" s="218"/>
      <c r="C6" s="219"/>
      <c r="D6" s="219"/>
      <c r="E6" s="219"/>
      <c r="F6" s="220"/>
      <c r="G6" s="211" t="s">
        <v>37</v>
      </c>
      <c r="H6" s="212"/>
      <c r="I6" s="212" t="s">
        <v>6</v>
      </c>
      <c r="J6" s="221"/>
      <c r="K6" s="222"/>
      <c r="L6" s="222"/>
      <c r="M6" s="358"/>
      <c r="N6" s="223"/>
      <c r="O6" s="22"/>
      <c r="P6" s="359"/>
      <c r="Q6" s="22"/>
    </row>
    <row r="7" spans="1:26" ht="18" customHeight="1" x14ac:dyDescent="0.25">
      <c r="A7" s="224"/>
      <c r="B7" s="360"/>
      <c r="C7" s="361"/>
      <c r="D7" s="361"/>
      <c r="E7" s="361"/>
      <c r="F7" s="225"/>
      <c r="G7" s="211" t="s">
        <v>38</v>
      </c>
      <c r="H7" s="212"/>
      <c r="I7" s="212" t="s">
        <v>6</v>
      </c>
      <c r="J7" s="221"/>
      <c r="K7" s="222"/>
      <c r="L7" s="222"/>
      <c r="M7" s="358"/>
      <c r="N7" s="226"/>
      <c r="O7" s="23"/>
      <c r="P7" s="362"/>
      <c r="Q7" s="23"/>
    </row>
    <row r="8" spans="1:26" ht="21" customHeight="1" thickBot="1" x14ac:dyDescent="0.3">
      <c r="A8" s="227"/>
      <c r="B8" s="363"/>
      <c r="C8" s="228"/>
      <c r="D8" s="228"/>
      <c r="E8" s="228"/>
      <c r="F8" s="229"/>
      <c r="G8" s="230" t="s">
        <v>39</v>
      </c>
      <c r="H8" s="231"/>
      <c r="I8" s="231" t="s">
        <v>6</v>
      </c>
      <c r="J8" s="232"/>
      <c r="K8" s="233"/>
      <c r="L8" s="233"/>
      <c r="M8" s="233"/>
      <c r="N8" s="234" t="s">
        <v>40</v>
      </c>
      <c r="O8" s="235"/>
      <c r="P8" s="364"/>
      <c r="U8" s="24"/>
    </row>
    <row r="9" spans="1:26" ht="21" customHeight="1" thickTop="1" thickBot="1" x14ac:dyDescent="0.3">
      <c r="A9" s="236" t="s">
        <v>41</v>
      </c>
      <c r="B9" s="365"/>
      <c r="C9" s="366"/>
      <c r="D9" s="366"/>
      <c r="E9" s="366"/>
      <c r="F9" s="366"/>
      <c r="G9" s="358"/>
      <c r="H9" s="358"/>
      <c r="I9" s="358"/>
      <c r="J9" s="233"/>
      <c r="K9" s="358"/>
      <c r="L9" s="358"/>
      <c r="M9" s="358"/>
      <c r="N9" s="108"/>
      <c r="P9" s="367"/>
      <c r="U9" s="24"/>
    </row>
    <row r="10" spans="1:26" ht="26.25" customHeight="1" thickTop="1" x14ac:dyDescent="0.25">
      <c r="A10" s="591" t="s">
        <v>42</v>
      </c>
      <c r="B10" s="592"/>
      <c r="C10" s="569"/>
      <c r="D10" s="569"/>
      <c r="E10" s="569"/>
      <c r="F10" s="569"/>
      <c r="G10" s="569"/>
      <c r="H10" s="569"/>
      <c r="I10" s="569"/>
      <c r="J10" s="569"/>
      <c r="K10" s="569"/>
      <c r="L10" s="569"/>
      <c r="M10" s="569"/>
      <c r="N10" s="570"/>
      <c r="O10" s="571" t="s">
        <v>43</v>
      </c>
      <c r="P10" s="572"/>
      <c r="Q10" s="25"/>
    </row>
    <row r="11" spans="1:26" ht="21.75" customHeight="1" thickBot="1" x14ac:dyDescent="0.3">
      <c r="A11" s="578" t="s">
        <v>44</v>
      </c>
      <c r="B11" s="593"/>
      <c r="C11" s="579"/>
      <c r="D11" s="579"/>
      <c r="E11" s="579"/>
      <c r="F11" s="579"/>
      <c r="G11" s="579"/>
      <c r="H11" s="580"/>
      <c r="I11" s="578" t="s">
        <v>45</v>
      </c>
      <c r="J11" s="579"/>
      <c r="K11" s="579"/>
      <c r="L11" s="579"/>
      <c r="M11" s="579"/>
      <c r="N11" s="580"/>
      <c r="O11" s="573"/>
      <c r="P11" s="574"/>
      <c r="Q11" s="25"/>
    </row>
    <row r="12" spans="1:26" ht="13.5" customHeight="1" thickTop="1" x14ac:dyDescent="0.25">
      <c r="A12" s="527"/>
      <c r="B12" s="528"/>
      <c r="C12" s="529"/>
      <c r="D12" s="529"/>
      <c r="E12" s="529"/>
      <c r="F12" s="529"/>
      <c r="G12" s="529"/>
      <c r="H12" s="530"/>
      <c r="I12" s="527"/>
      <c r="J12" s="539"/>
      <c r="K12" s="539"/>
      <c r="L12" s="539"/>
      <c r="M12" s="539"/>
      <c r="N12" s="540"/>
      <c r="O12" s="527"/>
      <c r="P12" s="547"/>
      <c r="Q12" s="26"/>
    </row>
    <row r="13" spans="1:26" ht="13.5" customHeight="1" x14ac:dyDescent="0.25">
      <c r="A13" s="531"/>
      <c r="B13" s="532"/>
      <c r="C13" s="533"/>
      <c r="D13" s="533"/>
      <c r="E13" s="533"/>
      <c r="F13" s="533"/>
      <c r="G13" s="533"/>
      <c r="H13" s="534"/>
      <c r="I13" s="541"/>
      <c r="J13" s="542"/>
      <c r="K13" s="542"/>
      <c r="L13" s="542"/>
      <c r="M13" s="542"/>
      <c r="N13" s="543"/>
      <c r="O13" s="541"/>
      <c r="P13" s="548"/>
      <c r="Q13" s="26"/>
    </row>
    <row r="14" spans="1:26" ht="13.5" customHeight="1" x14ac:dyDescent="0.25">
      <c r="A14" s="531"/>
      <c r="B14" s="532"/>
      <c r="C14" s="533"/>
      <c r="D14" s="533"/>
      <c r="E14" s="533"/>
      <c r="F14" s="533"/>
      <c r="G14" s="533"/>
      <c r="H14" s="534"/>
      <c r="I14" s="541"/>
      <c r="J14" s="542"/>
      <c r="K14" s="542"/>
      <c r="L14" s="542"/>
      <c r="M14" s="542"/>
      <c r="N14" s="543"/>
      <c r="O14" s="541"/>
      <c r="P14" s="548"/>
      <c r="Q14" s="26"/>
    </row>
    <row r="15" spans="1:26" ht="13.5" customHeight="1" x14ac:dyDescent="0.25">
      <c r="A15" s="531"/>
      <c r="B15" s="532"/>
      <c r="C15" s="533"/>
      <c r="D15" s="533"/>
      <c r="E15" s="533"/>
      <c r="F15" s="533"/>
      <c r="G15" s="533"/>
      <c r="H15" s="534"/>
      <c r="I15" s="541"/>
      <c r="J15" s="542"/>
      <c r="K15" s="542"/>
      <c r="L15" s="542"/>
      <c r="M15" s="542"/>
      <c r="N15" s="543"/>
      <c r="O15" s="541"/>
      <c r="P15" s="548"/>
      <c r="Q15" s="26"/>
    </row>
    <row r="16" spans="1:26" ht="13.5" customHeight="1" x14ac:dyDescent="0.25">
      <c r="A16" s="531"/>
      <c r="B16" s="532"/>
      <c r="C16" s="533"/>
      <c r="D16" s="533"/>
      <c r="E16" s="533"/>
      <c r="F16" s="533"/>
      <c r="G16" s="533"/>
      <c r="H16" s="534"/>
      <c r="I16" s="541"/>
      <c r="J16" s="542"/>
      <c r="K16" s="542"/>
      <c r="L16" s="542"/>
      <c r="M16" s="542"/>
      <c r="N16" s="543"/>
      <c r="O16" s="541"/>
      <c r="P16" s="548"/>
      <c r="Q16" s="26"/>
    </row>
    <row r="17" spans="1:17" ht="13.5" customHeight="1" x14ac:dyDescent="0.25">
      <c r="A17" s="531"/>
      <c r="B17" s="532"/>
      <c r="C17" s="533"/>
      <c r="D17" s="533"/>
      <c r="E17" s="533"/>
      <c r="F17" s="533"/>
      <c r="G17" s="533"/>
      <c r="H17" s="534"/>
      <c r="I17" s="541"/>
      <c r="J17" s="542"/>
      <c r="K17" s="542"/>
      <c r="L17" s="542"/>
      <c r="M17" s="542"/>
      <c r="N17" s="543"/>
      <c r="O17" s="541"/>
      <c r="P17" s="548"/>
      <c r="Q17" s="26"/>
    </row>
    <row r="18" spans="1:17" ht="13.5" customHeight="1" x14ac:dyDescent="0.25">
      <c r="A18" s="531"/>
      <c r="B18" s="532"/>
      <c r="C18" s="533"/>
      <c r="D18" s="533"/>
      <c r="E18" s="533"/>
      <c r="F18" s="533"/>
      <c r="G18" s="533"/>
      <c r="H18" s="534"/>
      <c r="I18" s="541"/>
      <c r="J18" s="542"/>
      <c r="K18" s="542"/>
      <c r="L18" s="542"/>
      <c r="M18" s="542"/>
      <c r="N18" s="543"/>
      <c r="O18" s="541"/>
      <c r="P18" s="548"/>
      <c r="Q18" s="26"/>
    </row>
    <row r="19" spans="1:17" ht="13.5" customHeight="1" x14ac:dyDescent="0.25">
      <c r="A19" s="531"/>
      <c r="B19" s="532"/>
      <c r="C19" s="533"/>
      <c r="D19" s="533"/>
      <c r="E19" s="533"/>
      <c r="F19" s="533"/>
      <c r="G19" s="533"/>
      <c r="H19" s="534"/>
      <c r="I19" s="541"/>
      <c r="J19" s="542"/>
      <c r="K19" s="542"/>
      <c r="L19" s="542"/>
      <c r="M19" s="542"/>
      <c r="N19" s="543"/>
      <c r="O19" s="541"/>
      <c r="P19" s="548"/>
      <c r="Q19" s="26"/>
    </row>
    <row r="20" spans="1:17" ht="13.5" customHeight="1" x14ac:dyDescent="0.25">
      <c r="A20" s="531"/>
      <c r="B20" s="532"/>
      <c r="C20" s="533"/>
      <c r="D20" s="533"/>
      <c r="E20" s="533"/>
      <c r="F20" s="533"/>
      <c r="G20" s="533"/>
      <c r="H20" s="534"/>
      <c r="I20" s="541"/>
      <c r="J20" s="542"/>
      <c r="K20" s="542"/>
      <c r="L20" s="542"/>
      <c r="M20" s="542"/>
      <c r="N20" s="543"/>
      <c r="O20" s="541"/>
      <c r="P20" s="548"/>
      <c r="Q20" s="26"/>
    </row>
    <row r="21" spans="1:17" ht="13.5" customHeight="1" x14ac:dyDescent="0.25">
      <c r="A21" s="531"/>
      <c r="B21" s="532"/>
      <c r="C21" s="533"/>
      <c r="D21" s="533"/>
      <c r="E21" s="533"/>
      <c r="F21" s="533"/>
      <c r="G21" s="533"/>
      <c r="H21" s="534"/>
      <c r="I21" s="541"/>
      <c r="J21" s="542"/>
      <c r="K21" s="542"/>
      <c r="L21" s="542"/>
      <c r="M21" s="542"/>
      <c r="N21" s="543"/>
      <c r="O21" s="541"/>
      <c r="P21" s="548"/>
      <c r="Q21" s="26"/>
    </row>
    <row r="22" spans="1:17" ht="13.5" customHeight="1" x14ac:dyDescent="0.25">
      <c r="A22" s="531"/>
      <c r="B22" s="532"/>
      <c r="C22" s="533"/>
      <c r="D22" s="533"/>
      <c r="E22" s="533"/>
      <c r="F22" s="533"/>
      <c r="G22" s="533"/>
      <c r="H22" s="534"/>
      <c r="I22" s="541"/>
      <c r="J22" s="542"/>
      <c r="K22" s="542"/>
      <c r="L22" s="542"/>
      <c r="M22" s="542"/>
      <c r="N22" s="543"/>
      <c r="O22" s="541"/>
      <c r="P22" s="548"/>
      <c r="Q22" s="26"/>
    </row>
    <row r="23" spans="1:17" ht="13.5" customHeight="1" x14ac:dyDescent="0.25">
      <c r="A23" s="531"/>
      <c r="B23" s="532"/>
      <c r="C23" s="533"/>
      <c r="D23" s="533"/>
      <c r="E23" s="533"/>
      <c r="F23" s="533"/>
      <c r="G23" s="533"/>
      <c r="H23" s="534"/>
      <c r="I23" s="541"/>
      <c r="J23" s="542"/>
      <c r="K23" s="542"/>
      <c r="L23" s="542"/>
      <c r="M23" s="542"/>
      <c r="N23" s="543"/>
      <c r="O23" s="541"/>
      <c r="P23" s="548"/>
      <c r="Q23" s="26"/>
    </row>
    <row r="24" spans="1:17" ht="13.5" customHeight="1" x14ac:dyDescent="0.25">
      <c r="A24" s="531"/>
      <c r="B24" s="532"/>
      <c r="C24" s="533"/>
      <c r="D24" s="533"/>
      <c r="E24" s="533"/>
      <c r="F24" s="533"/>
      <c r="G24" s="533"/>
      <c r="H24" s="534"/>
      <c r="I24" s="541"/>
      <c r="J24" s="542"/>
      <c r="K24" s="542"/>
      <c r="L24" s="542"/>
      <c r="M24" s="542"/>
      <c r="N24" s="543"/>
      <c r="O24" s="541"/>
      <c r="P24" s="548"/>
      <c r="Q24" s="26"/>
    </row>
    <row r="25" spans="1:17" ht="13.5" customHeight="1" x14ac:dyDescent="0.25">
      <c r="A25" s="531"/>
      <c r="B25" s="532"/>
      <c r="C25" s="533"/>
      <c r="D25" s="533"/>
      <c r="E25" s="533"/>
      <c r="F25" s="533"/>
      <c r="G25" s="533"/>
      <c r="H25" s="534"/>
      <c r="I25" s="541"/>
      <c r="J25" s="542"/>
      <c r="K25" s="542"/>
      <c r="L25" s="542"/>
      <c r="M25" s="542"/>
      <c r="N25" s="543"/>
      <c r="O25" s="541"/>
      <c r="P25" s="548"/>
      <c r="Q25" s="26"/>
    </row>
    <row r="26" spans="1:17" ht="13.5" customHeight="1" thickBot="1" x14ac:dyDescent="0.3">
      <c r="A26" s="535"/>
      <c r="B26" s="536"/>
      <c r="C26" s="537"/>
      <c r="D26" s="537"/>
      <c r="E26" s="537"/>
      <c r="F26" s="537"/>
      <c r="G26" s="537"/>
      <c r="H26" s="538"/>
      <c r="I26" s="544"/>
      <c r="J26" s="545"/>
      <c r="K26" s="545"/>
      <c r="L26" s="545"/>
      <c r="M26" s="545"/>
      <c r="N26" s="546"/>
      <c r="O26" s="544"/>
      <c r="P26" s="549"/>
      <c r="Q26" s="26"/>
    </row>
    <row r="27" spans="1:17" ht="26.25" customHeight="1" thickTop="1" x14ac:dyDescent="0.25">
      <c r="A27" s="567" t="s">
        <v>46</v>
      </c>
      <c r="B27" s="568"/>
      <c r="C27" s="569"/>
      <c r="D27" s="569"/>
      <c r="E27" s="569"/>
      <c r="F27" s="569"/>
      <c r="G27" s="569"/>
      <c r="H27" s="569"/>
      <c r="I27" s="569"/>
      <c r="J27" s="569"/>
      <c r="K27" s="569"/>
      <c r="L27" s="569"/>
      <c r="M27" s="569"/>
      <c r="N27" s="570"/>
      <c r="O27" s="571" t="s">
        <v>43</v>
      </c>
      <c r="P27" s="572"/>
      <c r="Q27" s="25"/>
    </row>
    <row r="28" spans="1:17" ht="21.75" customHeight="1" thickBot="1" x14ac:dyDescent="0.3">
      <c r="A28" s="573" t="s">
        <v>47</v>
      </c>
      <c r="B28" s="575"/>
      <c r="C28" s="576"/>
      <c r="D28" s="576"/>
      <c r="E28" s="576"/>
      <c r="F28" s="576"/>
      <c r="G28" s="576"/>
      <c r="H28" s="577"/>
      <c r="I28" s="578" t="s">
        <v>45</v>
      </c>
      <c r="J28" s="579"/>
      <c r="K28" s="579"/>
      <c r="L28" s="579"/>
      <c r="M28" s="579"/>
      <c r="N28" s="580"/>
      <c r="O28" s="573"/>
      <c r="P28" s="574"/>
      <c r="Q28" s="25"/>
    </row>
    <row r="29" spans="1:17" ht="13.5" customHeight="1" thickTop="1" x14ac:dyDescent="0.25">
      <c r="A29" s="581"/>
      <c r="B29" s="528"/>
      <c r="C29" s="529"/>
      <c r="D29" s="529"/>
      <c r="E29" s="529"/>
      <c r="F29" s="529"/>
      <c r="G29" s="529"/>
      <c r="H29" s="530"/>
      <c r="I29" s="582" t="s">
        <v>239</v>
      </c>
      <c r="J29" s="583"/>
      <c r="K29" s="583"/>
      <c r="L29" s="583"/>
      <c r="M29" s="583"/>
      <c r="N29" s="584"/>
      <c r="O29" s="527"/>
      <c r="P29" s="547"/>
      <c r="Q29" s="27"/>
    </row>
    <row r="30" spans="1:17" ht="13.5" customHeight="1" x14ac:dyDescent="0.25">
      <c r="A30" s="531"/>
      <c r="B30" s="532"/>
      <c r="C30" s="533"/>
      <c r="D30" s="533"/>
      <c r="E30" s="533"/>
      <c r="F30" s="533"/>
      <c r="G30" s="533"/>
      <c r="H30" s="534"/>
      <c r="I30" s="585"/>
      <c r="J30" s="586"/>
      <c r="K30" s="586"/>
      <c r="L30" s="586"/>
      <c r="M30" s="586"/>
      <c r="N30" s="587"/>
      <c r="O30" s="541"/>
      <c r="P30" s="548"/>
      <c r="Q30" s="27"/>
    </row>
    <row r="31" spans="1:17" ht="13.5" customHeight="1" x14ac:dyDescent="0.25">
      <c r="A31" s="531"/>
      <c r="B31" s="532"/>
      <c r="C31" s="533"/>
      <c r="D31" s="533"/>
      <c r="E31" s="533"/>
      <c r="F31" s="533"/>
      <c r="G31" s="533"/>
      <c r="H31" s="534"/>
      <c r="I31" s="585"/>
      <c r="J31" s="586"/>
      <c r="K31" s="586"/>
      <c r="L31" s="586"/>
      <c r="M31" s="586"/>
      <c r="N31" s="587"/>
      <c r="O31" s="541"/>
      <c r="P31" s="548"/>
      <c r="Q31" s="27"/>
    </row>
    <row r="32" spans="1:17" ht="13.5" customHeight="1" x14ac:dyDescent="0.25">
      <c r="A32" s="531"/>
      <c r="B32" s="532"/>
      <c r="C32" s="533"/>
      <c r="D32" s="533"/>
      <c r="E32" s="533"/>
      <c r="F32" s="533"/>
      <c r="G32" s="533"/>
      <c r="H32" s="534"/>
      <c r="I32" s="585"/>
      <c r="J32" s="586"/>
      <c r="K32" s="586"/>
      <c r="L32" s="586"/>
      <c r="M32" s="586"/>
      <c r="N32" s="587"/>
      <c r="O32" s="541"/>
      <c r="P32" s="548"/>
      <c r="Q32" s="27"/>
    </row>
    <row r="33" spans="1:17" ht="13.5" customHeight="1" x14ac:dyDescent="0.25">
      <c r="A33" s="531"/>
      <c r="B33" s="532"/>
      <c r="C33" s="533"/>
      <c r="D33" s="533"/>
      <c r="E33" s="533"/>
      <c r="F33" s="533"/>
      <c r="G33" s="533"/>
      <c r="H33" s="534"/>
      <c r="I33" s="585"/>
      <c r="J33" s="586"/>
      <c r="K33" s="586"/>
      <c r="L33" s="586"/>
      <c r="M33" s="586"/>
      <c r="N33" s="587"/>
      <c r="O33" s="541"/>
      <c r="P33" s="548"/>
      <c r="Q33" s="27"/>
    </row>
    <row r="34" spans="1:17" ht="13.5" customHeight="1" x14ac:dyDescent="0.25">
      <c r="A34" s="531"/>
      <c r="B34" s="532"/>
      <c r="C34" s="533"/>
      <c r="D34" s="533"/>
      <c r="E34" s="533"/>
      <c r="F34" s="533"/>
      <c r="G34" s="533"/>
      <c r="H34" s="534"/>
      <c r="I34" s="585"/>
      <c r="J34" s="586"/>
      <c r="K34" s="586"/>
      <c r="L34" s="586"/>
      <c r="M34" s="586"/>
      <c r="N34" s="587"/>
      <c r="O34" s="541"/>
      <c r="P34" s="548"/>
      <c r="Q34" s="27"/>
    </row>
    <row r="35" spans="1:17" ht="13.5" customHeight="1" x14ac:dyDescent="0.25">
      <c r="A35" s="531"/>
      <c r="B35" s="532"/>
      <c r="C35" s="533"/>
      <c r="D35" s="533"/>
      <c r="E35" s="533"/>
      <c r="F35" s="533"/>
      <c r="G35" s="533"/>
      <c r="H35" s="534"/>
      <c r="I35" s="585"/>
      <c r="J35" s="586"/>
      <c r="K35" s="586"/>
      <c r="L35" s="586"/>
      <c r="M35" s="586"/>
      <c r="N35" s="587"/>
      <c r="O35" s="541"/>
      <c r="P35" s="548"/>
      <c r="Q35" s="27"/>
    </row>
    <row r="36" spans="1:17" ht="13.5" customHeight="1" x14ac:dyDescent="0.25">
      <c r="A36" s="531"/>
      <c r="B36" s="532"/>
      <c r="C36" s="533"/>
      <c r="D36" s="533"/>
      <c r="E36" s="533"/>
      <c r="F36" s="533"/>
      <c r="G36" s="533"/>
      <c r="H36" s="534"/>
      <c r="I36" s="585"/>
      <c r="J36" s="586"/>
      <c r="K36" s="586"/>
      <c r="L36" s="586"/>
      <c r="M36" s="586"/>
      <c r="N36" s="587"/>
      <c r="O36" s="541"/>
      <c r="P36" s="548"/>
      <c r="Q36" s="27"/>
    </row>
    <row r="37" spans="1:17" ht="13.5" customHeight="1" x14ac:dyDescent="0.25">
      <c r="A37" s="531"/>
      <c r="B37" s="532"/>
      <c r="C37" s="533"/>
      <c r="D37" s="533"/>
      <c r="E37" s="533"/>
      <c r="F37" s="533"/>
      <c r="G37" s="533"/>
      <c r="H37" s="534"/>
      <c r="I37" s="585"/>
      <c r="J37" s="586"/>
      <c r="K37" s="586"/>
      <c r="L37" s="586"/>
      <c r="M37" s="586"/>
      <c r="N37" s="587"/>
      <c r="O37" s="541"/>
      <c r="P37" s="548"/>
      <c r="Q37" s="27"/>
    </row>
    <row r="38" spans="1:17" ht="13.5" customHeight="1" x14ac:dyDescent="0.25">
      <c r="A38" s="531"/>
      <c r="B38" s="532"/>
      <c r="C38" s="533"/>
      <c r="D38" s="533"/>
      <c r="E38" s="533"/>
      <c r="F38" s="533"/>
      <c r="G38" s="533"/>
      <c r="H38" s="534"/>
      <c r="I38" s="585"/>
      <c r="J38" s="586"/>
      <c r="K38" s="586"/>
      <c r="L38" s="586"/>
      <c r="M38" s="586"/>
      <c r="N38" s="587"/>
      <c r="O38" s="541"/>
      <c r="P38" s="548"/>
      <c r="Q38" s="27"/>
    </row>
    <row r="39" spans="1:17" ht="13.5" customHeight="1" x14ac:dyDescent="0.25">
      <c r="A39" s="531"/>
      <c r="B39" s="532"/>
      <c r="C39" s="533"/>
      <c r="D39" s="533"/>
      <c r="E39" s="533"/>
      <c r="F39" s="533"/>
      <c r="G39" s="533"/>
      <c r="H39" s="534"/>
      <c r="I39" s="585"/>
      <c r="J39" s="586"/>
      <c r="K39" s="586"/>
      <c r="L39" s="586"/>
      <c r="M39" s="586"/>
      <c r="N39" s="587"/>
      <c r="O39" s="541"/>
      <c r="P39" s="548"/>
      <c r="Q39" s="27"/>
    </row>
    <row r="40" spans="1:17" ht="13.5" customHeight="1" x14ac:dyDescent="0.25">
      <c r="A40" s="531"/>
      <c r="B40" s="532"/>
      <c r="C40" s="533"/>
      <c r="D40" s="533"/>
      <c r="E40" s="533"/>
      <c r="F40" s="533"/>
      <c r="G40" s="533"/>
      <c r="H40" s="534"/>
      <c r="I40" s="585"/>
      <c r="J40" s="586"/>
      <c r="K40" s="586"/>
      <c r="L40" s="586"/>
      <c r="M40" s="586"/>
      <c r="N40" s="587"/>
      <c r="O40" s="541"/>
      <c r="P40" s="548"/>
      <c r="Q40" s="27"/>
    </row>
    <row r="41" spans="1:17" ht="13.5" customHeight="1" x14ac:dyDescent="0.25">
      <c r="A41" s="531"/>
      <c r="B41" s="532"/>
      <c r="C41" s="533"/>
      <c r="D41" s="533"/>
      <c r="E41" s="533"/>
      <c r="F41" s="533"/>
      <c r="G41" s="533"/>
      <c r="H41" s="534"/>
      <c r="I41" s="585"/>
      <c r="J41" s="586"/>
      <c r="K41" s="586"/>
      <c r="L41" s="586"/>
      <c r="M41" s="586"/>
      <c r="N41" s="587"/>
      <c r="O41" s="541"/>
      <c r="P41" s="548"/>
      <c r="Q41" s="27"/>
    </row>
    <row r="42" spans="1:17" ht="13.5" customHeight="1" x14ac:dyDescent="0.25">
      <c r="A42" s="531"/>
      <c r="B42" s="532"/>
      <c r="C42" s="533"/>
      <c r="D42" s="533"/>
      <c r="E42" s="533"/>
      <c r="F42" s="533"/>
      <c r="G42" s="533"/>
      <c r="H42" s="534"/>
      <c r="I42" s="585"/>
      <c r="J42" s="586"/>
      <c r="K42" s="586"/>
      <c r="L42" s="586"/>
      <c r="M42" s="586"/>
      <c r="N42" s="587"/>
      <c r="O42" s="541"/>
      <c r="P42" s="548"/>
      <c r="Q42" s="27"/>
    </row>
    <row r="43" spans="1:17" ht="13.5" customHeight="1" thickBot="1" x14ac:dyDescent="0.3">
      <c r="A43" s="535"/>
      <c r="B43" s="536"/>
      <c r="C43" s="537"/>
      <c r="D43" s="537"/>
      <c r="E43" s="537"/>
      <c r="F43" s="537"/>
      <c r="G43" s="537"/>
      <c r="H43" s="538"/>
      <c r="I43" s="588"/>
      <c r="J43" s="589"/>
      <c r="K43" s="589"/>
      <c r="L43" s="589"/>
      <c r="M43" s="589"/>
      <c r="N43" s="590"/>
      <c r="O43" s="544"/>
      <c r="P43" s="549"/>
      <c r="Q43" s="27"/>
    </row>
    <row r="44" spans="1:17" ht="23.25" customHeight="1" thickTop="1" thickBot="1" x14ac:dyDescent="0.3">
      <c r="A44" s="561" t="s">
        <v>48</v>
      </c>
      <c r="B44" s="562"/>
      <c r="C44" s="563"/>
      <c r="D44" s="563"/>
      <c r="E44" s="563"/>
      <c r="F44" s="563"/>
      <c r="G44" s="564"/>
      <c r="H44" s="564"/>
      <c r="I44" s="564"/>
      <c r="J44" s="565" t="s">
        <v>49</v>
      </c>
      <c r="K44" s="566"/>
      <c r="L44" s="368" t="s">
        <v>50</v>
      </c>
      <c r="M44" s="27"/>
      <c r="N44" s="237"/>
      <c r="O44" s="238"/>
      <c r="P44" s="369"/>
      <c r="Q44" s="27"/>
    </row>
    <row r="45" spans="1:17" ht="26.25" customHeight="1" thickTop="1" x14ac:dyDescent="0.25">
      <c r="A45" s="567" t="s">
        <v>51</v>
      </c>
      <c r="B45" s="568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70"/>
      <c r="O45" s="571" t="s">
        <v>43</v>
      </c>
      <c r="P45" s="572"/>
      <c r="Q45" s="25"/>
    </row>
    <row r="46" spans="1:17" ht="21.75" customHeight="1" thickBot="1" x14ac:dyDescent="0.3">
      <c r="A46" s="573" t="s">
        <v>52</v>
      </c>
      <c r="B46" s="575"/>
      <c r="C46" s="576"/>
      <c r="D46" s="576"/>
      <c r="E46" s="576"/>
      <c r="F46" s="576"/>
      <c r="G46" s="576"/>
      <c r="H46" s="577"/>
      <c r="I46" s="578" t="s">
        <v>45</v>
      </c>
      <c r="J46" s="579"/>
      <c r="K46" s="579"/>
      <c r="L46" s="579"/>
      <c r="M46" s="579"/>
      <c r="N46" s="580"/>
      <c r="O46" s="573"/>
      <c r="P46" s="574"/>
      <c r="Q46" s="25"/>
    </row>
    <row r="47" spans="1:17" ht="13.5" customHeight="1" thickTop="1" x14ac:dyDescent="0.25">
      <c r="A47" s="527"/>
      <c r="B47" s="528"/>
      <c r="C47" s="529"/>
      <c r="D47" s="529"/>
      <c r="E47" s="529"/>
      <c r="F47" s="529"/>
      <c r="G47" s="529"/>
      <c r="H47" s="530"/>
      <c r="I47" s="527"/>
      <c r="J47" s="539"/>
      <c r="K47" s="539"/>
      <c r="L47" s="539"/>
      <c r="M47" s="539"/>
      <c r="N47" s="540"/>
      <c r="O47" s="527"/>
      <c r="P47" s="547"/>
      <c r="Q47" s="27"/>
    </row>
    <row r="48" spans="1:17" ht="13.5" customHeight="1" x14ac:dyDescent="0.25">
      <c r="A48" s="531"/>
      <c r="B48" s="532"/>
      <c r="C48" s="533"/>
      <c r="D48" s="533"/>
      <c r="E48" s="533"/>
      <c r="F48" s="533"/>
      <c r="G48" s="533"/>
      <c r="H48" s="534"/>
      <c r="I48" s="541"/>
      <c r="J48" s="542"/>
      <c r="K48" s="542"/>
      <c r="L48" s="542"/>
      <c r="M48" s="542"/>
      <c r="N48" s="543"/>
      <c r="O48" s="541"/>
      <c r="P48" s="548"/>
      <c r="Q48" s="27"/>
    </row>
    <row r="49" spans="1:36" ht="13.5" customHeight="1" x14ac:dyDescent="0.25">
      <c r="A49" s="531"/>
      <c r="B49" s="532"/>
      <c r="C49" s="533"/>
      <c r="D49" s="533"/>
      <c r="E49" s="533"/>
      <c r="F49" s="533"/>
      <c r="G49" s="533"/>
      <c r="H49" s="534"/>
      <c r="I49" s="541"/>
      <c r="J49" s="542"/>
      <c r="K49" s="542"/>
      <c r="L49" s="542"/>
      <c r="M49" s="542"/>
      <c r="N49" s="543"/>
      <c r="O49" s="541"/>
      <c r="P49" s="548"/>
      <c r="Q49" s="27"/>
    </row>
    <row r="50" spans="1:36" ht="13.5" customHeight="1" x14ac:dyDescent="0.25">
      <c r="A50" s="531"/>
      <c r="B50" s="532"/>
      <c r="C50" s="533"/>
      <c r="D50" s="533"/>
      <c r="E50" s="533"/>
      <c r="F50" s="533"/>
      <c r="G50" s="533"/>
      <c r="H50" s="534"/>
      <c r="I50" s="541"/>
      <c r="J50" s="542"/>
      <c r="K50" s="542"/>
      <c r="L50" s="542"/>
      <c r="M50" s="542"/>
      <c r="N50" s="543"/>
      <c r="O50" s="541"/>
      <c r="P50" s="548"/>
      <c r="Q50" s="27"/>
    </row>
    <row r="51" spans="1:36" ht="13.5" customHeight="1" x14ac:dyDescent="0.25">
      <c r="A51" s="531"/>
      <c r="B51" s="532"/>
      <c r="C51" s="533"/>
      <c r="D51" s="533"/>
      <c r="E51" s="533"/>
      <c r="F51" s="533"/>
      <c r="G51" s="533"/>
      <c r="H51" s="534"/>
      <c r="I51" s="541"/>
      <c r="J51" s="542"/>
      <c r="K51" s="542"/>
      <c r="L51" s="542"/>
      <c r="M51" s="542"/>
      <c r="N51" s="543"/>
      <c r="O51" s="541"/>
      <c r="P51" s="548"/>
      <c r="Q51" s="27"/>
    </row>
    <row r="52" spans="1:36" ht="13.5" customHeight="1" x14ac:dyDescent="0.25">
      <c r="A52" s="531"/>
      <c r="B52" s="532"/>
      <c r="C52" s="533"/>
      <c r="D52" s="533"/>
      <c r="E52" s="533"/>
      <c r="F52" s="533"/>
      <c r="G52" s="533"/>
      <c r="H52" s="534"/>
      <c r="I52" s="541"/>
      <c r="J52" s="542"/>
      <c r="K52" s="542"/>
      <c r="L52" s="542"/>
      <c r="M52" s="542"/>
      <c r="N52" s="543"/>
      <c r="O52" s="541"/>
      <c r="P52" s="548"/>
      <c r="Q52" s="27"/>
      <c r="AJ52" s="18">
        <v>200</v>
      </c>
    </row>
    <row r="53" spans="1:36" ht="13.5" customHeight="1" x14ac:dyDescent="0.25">
      <c r="A53" s="531"/>
      <c r="B53" s="532"/>
      <c r="C53" s="533"/>
      <c r="D53" s="533"/>
      <c r="E53" s="533"/>
      <c r="F53" s="533"/>
      <c r="G53" s="533"/>
      <c r="H53" s="534"/>
      <c r="I53" s="541"/>
      <c r="J53" s="542"/>
      <c r="K53" s="542"/>
      <c r="L53" s="542"/>
      <c r="M53" s="542"/>
      <c r="N53" s="543"/>
      <c r="O53" s="541"/>
      <c r="P53" s="548"/>
      <c r="Q53" s="27"/>
      <c r="AJ53" s="18">
        <v>100</v>
      </c>
    </row>
    <row r="54" spans="1:36" ht="13.5" customHeight="1" x14ac:dyDescent="0.25">
      <c r="A54" s="531"/>
      <c r="B54" s="532"/>
      <c r="C54" s="533"/>
      <c r="D54" s="533"/>
      <c r="E54" s="533"/>
      <c r="F54" s="533"/>
      <c r="G54" s="533"/>
      <c r="H54" s="534"/>
      <c r="I54" s="541"/>
      <c r="J54" s="542"/>
      <c r="K54" s="542"/>
      <c r="L54" s="542"/>
      <c r="M54" s="542"/>
      <c r="N54" s="543"/>
      <c r="O54" s="541"/>
      <c r="P54" s="548"/>
      <c r="Q54" s="27"/>
      <c r="AJ54" s="18">
        <f>AJ52/AJ53</f>
        <v>2</v>
      </c>
    </row>
    <row r="55" spans="1:36" ht="13.5" customHeight="1" x14ac:dyDescent="0.25">
      <c r="A55" s="531"/>
      <c r="B55" s="532"/>
      <c r="C55" s="533"/>
      <c r="D55" s="533"/>
      <c r="E55" s="533"/>
      <c r="F55" s="533"/>
      <c r="G55" s="533"/>
      <c r="H55" s="534"/>
      <c r="I55" s="541"/>
      <c r="J55" s="542"/>
      <c r="K55" s="542"/>
      <c r="L55" s="542"/>
      <c r="M55" s="542"/>
      <c r="N55" s="543"/>
      <c r="O55" s="541"/>
      <c r="P55" s="548"/>
      <c r="Q55" s="27"/>
    </row>
    <row r="56" spans="1:36" ht="13.5" customHeight="1" x14ac:dyDescent="0.25">
      <c r="A56" s="531"/>
      <c r="B56" s="532"/>
      <c r="C56" s="533"/>
      <c r="D56" s="533"/>
      <c r="E56" s="533"/>
      <c r="F56" s="533"/>
      <c r="G56" s="533"/>
      <c r="H56" s="534"/>
      <c r="I56" s="541"/>
      <c r="J56" s="542"/>
      <c r="K56" s="542"/>
      <c r="L56" s="542"/>
      <c r="M56" s="542"/>
      <c r="N56" s="543"/>
      <c r="O56" s="541"/>
      <c r="P56" s="548"/>
      <c r="Q56" s="27"/>
    </row>
    <row r="57" spans="1:36" ht="13.5" customHeight="1" x14ac:dyDescent="0.25">
      <c r="A57" s="531"/>
      <c r="B57" s="532"/>
      <c r="C57" s="533"/>
      <c r="D57" s="533"/>
      <c r="E57" s="533"/>
      <c r="F57" s="533"/>
      <c r="G57" s="533"/>
      <c r="H57" s="534"/>
      <c r="I57" s="541"/>
      <c r="J57" s="542"/>
      <c r="K57" s="542"/>
      <c r="L57" s="542"/>
      <c r="M57" s="542"/>
      <c r="N57" s="543"/>
      <c r="O57" s="541"/>
      <c r="P57" s="548"/>
      <c r="Q57" s="27"/>
    </row>
    <row r="58" spans="1:36" ht="13.5" customHeight="1" x14ac:dyDescent="0.25">
      <c r="A58" s="531"/>
      <c r="B58" s="532"/>
      <c r="C58" s="533"/>
      <c r="D58" s="533"/>
      <c r="E58" s="533"/>
      <c r="F58" s="533"/>
      <c r="G58" s="533"/>
      <c r="H58" s="534"/>
      <c r="I58" s="541"/>
      <c r="J58" s="542"/>
      <c r="K58" s="542"/>
      <c r="L58" s="542"/>
      <c r="M58" s="542"/>
      <c r="N58" s="543"/>
      <c r="O58" s="541"/>
      <c r="P58" s="548"/>
      <c r="Q58" s="27"/>
    </row>
    <row r="59" spans="1:36" ht="13.5" customHeight="1" x14ac:dyDescent="0.25">
      <c r="A59" s="531"/>
      <c r="B59" s="532"/>
      <c r="C59" s="533"/>
      <c r="D59" s="533"/>
      <c r="E59" s="533"/>
      <c r="F59" s="533"/>
      <c r="G59" s="533"/>
      <c r="H59" s="534"/>
      <c r="I59" s="541"/>
      <c r="J59" s="542"/>
      <c r="K59" s="542"/>
      <c r="L59" s="542"/>
      <c r="M59" s="542"/>
      <c r="N59" s="543"/>
      <c r="O59" s="541"/>
      <c r="P59" s="548"/>
      <c r="Q59" s="27"/>
    </row>
    <row r="60" spans="1:36" ht="13.5" customHeight="1" x14ac:dyDescent="0.25">
      <c r="A60" s="531"/>
      <c r="B60" s="532"/>
      <c r="C60" s="533"/>
      <c r="D60" s="533"/>
      <c r="E60" s="533"/>
      <c r="F60" s="533"/>
      <c r="G60" s="533"/>
      <c r="H60" s="534"/>
      <c r="I60" s="541"/>
      <c r="J60" s="542"/>
      <c r="K60" s="542"/>
      <c r="L60" s="542"/>
      <c r="M60" s="542"/>
      <c r="N60" s="543"/>
      <c r="O60" s="541"/>
      <c r="P60" s="548"/>
      <c r="Q60" s="27"/>
    </row>
    <row r="61" spans="1:36" ht="13.5" customHeight="1" thickBot="1" x14ac:dyDescent="0.3">
      <c r="A61" s="535"/>
      <c r="B61" s="536"/>
      <c r="C61" s="537"/>
      <c r="D61" s="537"/>
      <c r="E61" s="537"/>
      <c r="F61" s="537"/>
      <c r="G61" s="537"/>
      <c r="H61" s="538"/>
      <c r="I61" s="544"/>
      <c r="J61" s="545"/>
      <c r="K61" s="545"/>
      <c r="L61" s="545"/>
      <c r="M61" s="545"/>
      <c r="N61" s="546"/>
      <c r="O61" s="544"/>
      <c r="P61" s="549"/>
      <c r="Q61" s="27"/>
    </row>
    <row r="62" spans="1:36" ht="13.5" hidden="1" customHeight="1" thickTop="1" x14ac:dyDescent="0.25">
      <c r="A62" s="550" t="s">
        <v>53</v>
      </c>
      <c r="B62" s="551"/>
      <c r="C62" s="239" t="s">
        <v>54</v>
      </c>
      <c r="D62" s="28"/>
      <c r="E62" s="28"/>
      <c r="F62" s="28"/>
      <c r="G62" s="28"/>
      <c r="H62" s="240"/>
      <c r="I62" s="239" t="s">
        <v>55</v>
      </c>
      <c r="J62" s="28"/>
      <c r="K62" s="28"/>
      <c r="L62" s="28"/>
      <c r="M62" s="28"/>
      <c r="N62" s="28"/>
      <c r="O62" s="239" t="s">
        <v>56</v>
      </c>
      <c r="P62" s="370"/>
      <c r="Q62" s="28"/>
    </row>
    <row r="63" spans="1:36" ht="13.5" hidden="1" customHeight="1" x14ac:dyDescent="0.25">
      <c r="A63" s="552"/>
      <c r="B63" s="553"/>
      <c r="C63" s="241"/>
      <c r="D63" s="28"/>
      <c r="E63" s="28"/>
      <c r="F63" s="28"/>
      <c r="G63" s="28"/>
      <c r="H63" s="240"/>
      <c r="I63" s="28"/>
      <c r="J63" s="28"/>
      <c r="K63" s="28"/>
      <c r="L63" s="28"/>
      <c r="M63" s="28"/>
      <c r="N63" s="28"/>
      <c r="O63" s="241"/>
      <c r="P63" s="370"/>
      <c r="Q63" s="28"/>
    </row>
    <row r="64" spans="1:36" ht="13.5" hidden="1" customHeight="1" thickBot="1" x14ac:dyDescent="0.3">
      <c r="A64" s="554"/>
      <c r="B64" s="555"/>
      <c r="C64" s="242"/>
      <c r="D64" s="243"/>
      <c r="E64" s="243"/>
      <c r="F64" s="243"/>
      <c r="G64" s="243"/>
      <c r="H64" s="244"/>
      <c r="I64" s="28"/>
      <c r="J64" s="28"/>
      <c r="K64" s="28"/>
      <c r="L64" s="28"/>
      <c r="M64" s="28"/>
      <c r="N64" s="28"/>
      <c r="O64" s="241"/>
      <c r="P64" s="370"/>
      <c r="Q64" s="28"/>
    </row>
    <row r="65" spans="1:17" ht="20.25" customHeight="1" thickTop="1" x14ac:dyDescent="0.25">
      <c r="A65" s="245" t="s">
        <v>57</v>
      </c>
      <c r="B65" s="371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556" t="s">
        <v>240</v>
      </c>
      <c r="P65" s="557"/>
    </row>
    <row r="66" spans="1:17" ht="12.5" customHeight="1" x14ac:dyDescent="0.25">
      <c r="A66" s="247"/>
      <c r="B66" s="524" t="s">
        <v>58</v>
      </c>
      <c r="C66" s="525"/>
      <c r="D66" s="526"/>
      <c r="E66" s="524" t="s">
        <v>59</v>
      </c>
      <c r="F66" s="525"/>
      <c r="G66" s="526"/>
      <c r="H66" s="256"/>
      <c r="I66" s="256"/>
      <c r="J66" s="256"/>
      <c r="K66" s="256"/>
      <c r="L66" s="256"/>
      <c r="M66" s="256"/>
      <c r="N66" s="256"/>
      <c r="O66" s="558"/>
      <c r="P66" s="559"/>
      <c r="Q66" s="29"/>
    </row>
    <row r="67" spans="1:17" ht="13" x14ac:dyDescent="0.25">
      <c r="A67" s="248" t="s">
        <v>60</v>
      </c>
      <c r="B67" s="524"/>
      <c r="C67" s="525"/>
      <c r="D67" s="526"/>
      <c r="E67" s="524"/>
      <c r="F67" s="525"/>
      <c r="G67" s="526"/>
      <c r="H67" s="29"/>
      <c r="I67" s="29"/>
      <c r="J67" s="560" t="s">
        <v>241</v>
      </c>
      <c r="K67" s="560"/>
      <c r="L67" s="560"/>
      <c r="M67" s="560"/>
      <c r="N67" s="29"/>
      <c r="O67" s="247"/>
      <c r="P67" s="249"/>
      <c r="Q67" s="29"/>
    </row>
    <row r="68" spans="1:17" x14ac:dyDescent="0.25">
      <c r="A68" s="248" t="s">
        <v>61</v>
      </c>
      <c r="B68" s="524"/>
      <c r="C68" s="525"/>
      <c r="D68" s="526"/>
      <c r="E68" s="524"/>
      <c r="F68" s="525"/>
      <c r="G68" s="526"/>
      <c r="H68" s="29"/>
      <c r="I68" s="29"/>
      <c r="J68" s="250"/>
      <c r="K68" s="251"/>
      <c r="L68" s="251"/>
      <c r="M68" s="252"/>
      <c r="N68" s="29"/>
      <c r="O68" s="247"/>
      <c r="P68" s="249"/>
      <c r="Q68" s="29"/>
    </row>
    <row r="69" spans="1:17" x14ac:dyDescent="0.25">
      <c r="A69" s="248" t="s">
        <v>62</v>
      </c>
      <c r="B69" s="524"/>
      <c r="C69" s="525"/>
      <c r="D69" s="526"/>
      <c r="E69" s="524"/>
      <c r="F69" s="525"/>
      <c r="G69" s="526"/>
      <c r="H69" s="29"/>
      <c r="I69" s="29"/>
      <c r="J69" s="253"/>
      <c r="K69" s="29"/>
      <c r="L69" s="29"/>
      <c r="M69" s="254"/>
      <c r="N69" s="29"/>
      <c r="O69" s="247"/>
      <c r="P69" s="249"/>
      <c r="Q69" s="29"/>
    </row>
    <row r="70" spans="1:17" x14ac:dyDescent="0.25">
      <c r="A70" s="248" t="s">
        <v>63</v>
      </c>
      <c r="B70" s="524"/>
      <c r="C70" s="525"/>
      <c r="D70" s="526"/>
      <c r="E70" s="524"/>
      <c r="F70" s="525"/>
      <c r="G70" s="526"/>
      <c r="H70" s="29"/>
      <c r="I70" s="29"/>
      <c r="J70" s="253"/>
      <c r="K70" s="29"/>
      <c r="L70" s="29"/>
      <c r="M70" s="254"/>
      <c r="N70" s="29"/>
      <c r="O70" s="247"/>
      <c r="P70" s="249"/>
      <c r="Q70" s="29"/>
    </row>
    <row r="71" spans="1:17" ht="12.5" customHeight="1" x14ac:dyDescent="0.25">
      <c r="A71" s="248" t="s">
        <v>64</v>
      </c>
      <c r="B71" s="524"/>
      <c r="C71" s="525"/>
      <c r="D71" s="526"/>
      <c r="E71" s="524"/>
      <c r="F71" s="525"/>
      <c r="G71" s="526"/>
      <c r="H71" s="29"/>
      <c r="I71" s="29"/>
      <c r="J71" s="255"/>
      <c r="K71" s="256"/>
      <c r="L71" s="256"/>
      <c r="M71" s="257"/>
      <c r="N71" s="29"/>
      <c r="O71" s="247"/>
      <c r="P71" s="249"/>
      <c r="Q71" s="29"/>
    </row>
    <row r="72" spans="1:17" ht="13" thickBot="1" x14ac:dyDescent="0.3">
      <c r="A72" s="248" t="s">
        <v>65</v>
      </c>
      <c r="B72" s="524"/>
      <c r="C72" s="525"/>
      <c r="D72" s="526"/>
      <c r="E72" s="524"/>
      <c r="F72" s="525"/>
      <c r="G72" s="526"/>
      <c r="H72" s="29"/>
      <c r="I72" s="29"/>
      <c r="J72" s="258"/>
      <c r="K72" s="258"/>
      <c r="L72" s="258"/>
      <c r="M72" s="258"/>
      <c r="N72" s="258"/>
      <c r="O72" s="259"/>
      <c r="P72" s="260"/>
      <c r="Q72" s="29"/>
    </row>
    <row r="73" spans="1:17" ht="17.25" customHeight="1" thickTop="1" x14ac:dyDescent="0.25">
      <c r="A73" s="261"/>
      <c r="B73" s="32"/>
      <c r="C73" s="32"/>
      <c r="D73" s="32"/>
      <c r="E73" s="32"/>
      <c r="F73" s="32"/>
      <c r="G73" s="32"/>
      <c r="H73" s="32"/>
      <c r="I73" s="262"/>
      <c r="J73" s="517" t="s">
        <v>66</v>
      </c>
      <c r="K73" s="519" t="s">
        <v>1</v>
      </c>
      <c r="L73" s="520"/>
      <c r="M73" s="520"/>
      <c r="N73" s="520"/>
      <c r="O73" s="521"/>
      <c r="P73" s="522"/>
      <c r="Q73" s="30"/>
    </row>
    <row r="74" spans="1:17" ht="25.5" customHeight="1" x14ac:dyDescent="0.25">
      <c r="A74" s="261"/>
      <c r="B74" s="32"/>
      <c r="C74" s="32"/>
      <c r="D74" s="32"/>
      <c r="E74" s="32"/>
      <c r="F74" s="32"/>
      <c r="G74" s="32"/>
      <c r="H74" s="32"/>
      <c r="I74" s="32"/>
      <c r="J74" s="518"/>
      <c r="K74" s="263" t="s">
        <v>67</v>
      </c>
      <c r="L74" s="263" t="s">
        <v>68</v>
      </c>
      <c r="M74" s="263" t="s">
        <v>69</v>
      </c>
      <c r="N74" s="263" t="s">
        <v>70</v>
      </c>
      <c r="O74" s="263" t="s">
        <v>71</v>
      </c>
      <c r="P74" s="263" t="s">
        <v>72</v>
      </c>
      <c r="Q74" s="30"/>
    </row>
    <row r="75" spans="1:17" x14ac:dyDescent="0.25">
      <c r="A75" s="261"/>
      <c r="B75" s="32"/>
      <c r="C75" s="32"/>
      <c r="D75" s="32"/>
      <c r="E75" s="32"/>
      <c r="F75" s="32"/>
      <c r="G75" s="32"/>
      <c r="H75" s="32"/>
      <c r="I75" s="32"/>
      <c r="J75" s="264"/>
      <c r="K75" s="264"/>
      <c r="L75" s="265"/>
      <c r="M75" s="265"/>
      <c r="N75" s="265"/>
      <c r="O75" s="265"/>
      <c r="P75" s="265"/>
      <c r="Q75" s="31"/>
    </row>
    <row r="76" spans="1:17" x14ac:dyDescent="0.25">
      <c r="A76" s="261"/>
      <c r="B76" s="32"/>
      <c r="C76" s="32"/>
      <c r="D76" s="32"/>
      <c r="E76" s="32"/>
      <c r="F76" s="32"/>
      <c r="G76" s="32"/>
      <c r="H76" s="32"/>
      <c r="I76" s="32"/>
      <c r="J76" s="264"/>
      <c r="K76" s="264"/>
      <c r="L76" s="266"/>
      <c r="M76" s="266"/>
      <c r="N76" s="266"/>
      <c r="O76" s="266"/>
      <c r="P76" s="266"/>
    </row>
    <row r="77" spans="1:17" x14ac:dyDescent="0.25">
      <c r="A77" s="261"/>
      <c r="B77" s="32"/>
      <c r="C77" s="32"/>
      <c r="D77" s="32"/>
      <c r="E77" s="32"/>
      <c r="F77" s="32"/>
      <c r="G77" s="32"/>
      <c r="H77" s="32"/>
      <c r="I77" s="32"/>
      <c r="J77" s="264"/>
      <c r="K77" s="264"/>
      <c r="L77" s="266"/>
      <c r="M77" s="266"/>
      <c r="N77" s="266"/>
      <c r="O77" s="266"/>
      <c r="P77" s="266"/>
    </row>
    <row r="78" spans="1:17" x14ac:dyDescent="0.25">
      <c r="A78" s="261"/>
      <c r="B78" s="32"/>
      <c r="C78" s="32"/>
      <c r="D78" s="32"/>
      <c r="E78" s="32"/>
      <c r="F78" s="32"/>
      <c r="G78" s="32"/>
      <c r="H78" s="32"/>
      <c r="I78" s="32"/>
      <c r="J78" s="267"/>
      <c r="K78" s="267"/>
      <c r="L78" s="268"/>
      <c r="M78" s="268"/>
      <c r="N78" s="268"/>
      <c r="O78" s="268"/>
      <c r="P78" s="268"/>
    </row>
    <row r="79" spans="1:17" ht="13" thickBot="1" x14ac:dyDescent="0.3">
      <c r="A79" s="269"/>
      <c r="B79" s="270"/>
      <c r="C79" s="270"/>
      <c r="D79" s="270"/>
      <c r="E79" s="270"/>
      <c r="F79" s="270"/>
      <c r="G79" s="270"/>
      <c r="H79" s="270"/>
      <c r="I79" s="270"/>
      <c r="J79" s="271"/>
      <c r="K79" s="271"/>
      <c r="L79" s="272"/>
      <c r="M79" s="272"/>
      <c r="N79" s="272"/>
      <c r="O79" s="271"/>
      <c r="P79" s="271"/>
      <c r="Q79" s="32"/>
    </row>
    <row r="80" spans="1:17" ht="13" thickTop="1" x14ac:dyDescent="0.25">
      <c r="M80" s="523"/>
      <c r="N80" s="523"/>
      <c r="O80" s="523"/>
      <c r="P80" s="523"/>
      <c r="Q80" s="33"/>
    </row>
    <row r="82" spans="3:3" ht="13" x14ac:dyDescent="0.3">
      <c r="C82" s="34"/>
    </row>
  </sheetData>
  <mergeCells count="50">
    <mergeCell ref="A5:F5"/>
    <mergeCell ref="B2:E2"/>
    <mergeCell ref="G2:M3"/>
    <mergeCell ref="N2:P2"/>
    <mergeCell ref="A3:F4"/>
    <mergeCell ref="N3:P4"/>
    <mergeCell ref="A10:N10"/>
    <mergeCell ref="O10:P11"/>
    <mergeCell ref="A11:H11"/>
    <mergeCell ref="I11:N11"/>
    <mergeCell ref="A12:H26"/>
    <mergeCell ref="I12:N26"/>
    <mergeCell ref="O12:P26"/>
    <mergeCell ref="A27:N27"/>
    <mergeCell ref="O27:P28"/>
    <mergeCell ref="A28:H28"/>
    <mergeCell ref="I28:N28"/>
    <mergeCell ref="A29:H43"/>
    <mergeCell ref="I29:N43"/>
    <mergeCell ref="O29:P43"/>
    <mergeCell ref="A44:F44"/>
    <mergeCell ref="G44:I44"/>
    <mergeCell ref="J44:K44"/>
    <mergeCell ref="A45:N45"/>
    <mergeCell ref="O45:P46"/>
    <mergeCell ref="A46:H46"/>
    <mergeCell ref="I46:N46"/>
    <mergeCell ref="B69:D69"/>
    <mergeCell ref="E69:G69"/>
    <mergeCell ref="A47:H61"/>
    <mergeCell ref="I47:N61"/>
    <mergeCell ref="O47:P61"/>
    <mergeCell ref="A62:B64"/>
    <mergeCell ref="O65:P66"/>
    <mergeCell ref="B66:D66"/>
    <mergeCell ref="E66:G66"/>
    <mergeCell ref="B67:D67"/>
    <mergeCell ref="E67:G67"/>
    <mergeCell ref="J67:M67"/>
    <mergeCell ref="B68:D68"/>
    <mergeCell ref="E68:G68"/>
    <mergeCell ref="J73:J74"/>
    <mergeCell ref="K73:P73"/>
    <mergeCell ref="M80:P80"/>
    <mergeCell ref="B70:D70"/>
    <mergeCell ref="E70:G70"/>
    <mergeCell ref="B71:D71"/>
    <mergeCell ref="E71:G71"/>
    <mergeCell ref="B72:D72"/>
    <mergeCell ref="E72:G72"/>
  </mergeCells>
  <printOptions horizontalCentered="1" verticalCentered="1"/>
  <pageMargins left="0.3" right="0.3" top="0.4" bottom="0.4" header="0.2" footer="0.2"/>
  <pageSetup paperSize="9" scale="67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A62F-6014-49ED-AC5F-700703547132}">
  <dimension ref="B2:BA66"/>
  <sheetViews>
    <sheetView showGridLines="0" topLeftCell="A4" zoomScale="89" workbookViewId="0">
      <selection activeCell="J12" sqref="J12"/>
    </sheetView>
  </sheetViews>
  <sheetFormatPr defaultRowHeight="14.5" x14ac:dyDescent="0.35"/>
  <cols>
    <col min="3" max="3" width="1.81640625" customWidth="1"/>
    <col min="4" max="4" width="25.1796875" customWidth="1"/>
    <col min="5" max="5" width="1.81640625" customWidth="1"/>
    <col min="12" max="13" width="9.1796875" customWidth="1"/>
    <col min="14" max="15" width="0" hidden="1" customWidth="1"/>
    <col min="16" max="17" width="12" hidden="1" customWidth="1"/>
    <col min="18" max="18" width="10.1796875" hidden="1" customWidth="1"/>
    <col min="19" max="19" width="9.81640625" hidden="1" customWidth="1"/>
    <col min="20" max="20" width="37.81640625" hidden="1" customWidth="1"/>
    <col min="21" max="54" width="0" hidden="1" customWidth="1"/>
  </cols>
  <sheetData>
    <row r="2" spans="2:53" x14ac:dyDescent="0.35">
      <c r="B2" s="337"/>
      <c r="C2" s="1"/>
      <c r="D2" s="2"/>
      <c r="E2" s="2"/>
      <c r="F2" s="2"/>
      <c r="G2" s="2"/>
      <c r="H2" s="2"/>
      <c r="I2" s="2"/>
      <c r="J2" s="2"/>
      <c r="K2" s="2"/>
      <c r="L2" s="3"/>
      <c r="M2" s="338"/>
      <c r="N2" s="338"/>
      <c r="O2" s="338"/>
      <c r="P2" s="339"/>
    </row>
    <row r="3" spans="2:53" x14ac:dyDescent="0.35">
      <c r="B3" s="340"/>
      <c r="C3" s="7"/>
      <c r="D3" s="8"/>
      <c r="E3" s="8"/>
      <c r="F3" s="8"/>
      <c r="G3" s="8"/>
      <c r="H3" s="8"/>
      <c r="I3" s="8"/>
      <c r="J3" s="8"/>
      <c r="K3" s="8"/>
      <c r="L3" s="9"/>
      <c r="O3" s="416" t="s">
        <v>0</v>
      </c>
      <c r="P3" s="417" t="s">
        <v>73</v>
      </c>
      <c r="Q3" s="419" t="s">
        <v>74</v>
      </c>
      <c r="R3" s="419" t="s">
        <v>75</v>
      </c>
      <c r="S3" s="419" t="s">
        <v>76</v>
      </c>
      <c r="T3" s="419" t="s">
        <v>77</v>
      </c>
      <c r="U3" s="413" t="s">
        <v>78</v>
      </c>
      <c r="V3" s="413"/>
      <c r="W3" s="413"/>
      <c r="X3" s="413" t="s">
        <v>79</v>
      </c>
      <c r="Y3" s="413"/>
      <c r="Z3" s="413"/>
      <c r="AA3" s="413" t="s">
        <v>80</v>
      </c>
      <c r="AB3" s="413"/>
      <c r="AC3" s="413"/>
      <c r="AD3" s="413" t="s">
        <v>81</v>
      </c>
      <c r="AE3" s="413"/>
      <c r="AF3" s="413"/>
      <c r="AG3" s="413" t="s">
        <v>82</v>
      </c>
      <c r="AH3" s="413"/>
      <c r="AI3" s="413"/>
      <c r="AJ3" s="413" t="s">
        <v>82</v>
      </c>
      <c r="AK3" s="413"/>
      <c r="AL3" s="413"/>
      <c r="AM3" s="413" t="s">
        <v>82</v>
      </c>
      <c r="AN3" s="413"/>
      <c r="AO3" s="413"/>
      <c r="AP3" s="413" t="s">
        <v>82</v>
      </c>
      <c r="AQ3" s="413"/>
      <c r="AR3" s="413"/>
      <c r="AS3" s="413" t="s">
        <v>82</v>
      </c>
      <c r="AT3" s="413"/>
      <c r="AU3" s="413"/>
      <c r="AV3" s="413" t="s">
        <v>82</v>
      </c>
      <c r="AW3" s="413"/>
      <c r="AX3" s="413"/>
      <c r="AY3" s="413" t="s">
        <v>82</v>
      </c>
      <c r="AZ3" s="413"/>
      <c r="BA3" s="413"/>
    </row>
    <row r="4" spans="2:53" ht="19" x14ac:dyDescent="0.4">
      <c r="B4" s="340"/>
      <c r="C4" s="7"/>
      <c r="D4" s="8"/>
      <c r="E4" s="8"/>
      <c r="F4" s="414" t="s">
        <v>271</v>
      </c>
      <c r="G4" s="414"/>
      <c r="H4" s="414"/>
      <c r="I4" s="414"/>
      <c r="J4" s="414"/>
      <c r="K4" s="414"/>
      <c r="L4" s="415"/>
      <c r="M4" s="341"/>
      <c r="O4" s="416"/>
      <c r="P4" s="418"/>
      <c r="Q4" s="420"/>
      <c r="R4" s="420"/>
      <c r="S4" s="420"/>
      <c r="T4" s="420"/>
      <c r="U4" s="35" t="s">
        <v>26</v>
      </c>
      <c r="V4" s="35" t="s">
        <v>29</v>
      </c>
      <c r="W4" s="35" t="s">
        <v>27</v>
      </c>
      <c r="X4" s="35" t="s">
        <v>26</v>
      </c>
      <c r="Y4" s="35" t="s">
        <v>29</v>
      </c>
      <c r="Z4" s="35" t="s">
        <v>27</v>
      </c>
      <c r="AA4" s="35" t="s">
        <v>26</v>
      </c>
      <c r="AB4" s="35" t="s">
        <v>29</v>
      </c>
      <c r="AC4" s="35" t="s">
        <v>27</v>
      </c>
      <c r="AD4" s="35" t="s">
        <v>83</v>
      </c>
      <c r="AE4" s="35" t="s">
        <v>29</v>
      </c>
      <c r="AF4" s="35" t="s">
        <v>27</v>
      </c>
      <c r="AG4" s="35" t="s">
        <v>26</v>
      </c>
      <c r="AH4" s="35" t="s">
        <v>29</v>
      </c>
      <c r="AI4" s="35" t="s">
        <v>27</v>
      </c>
      <c r="AJ4" s="35" t="s">
        <v>26</v>
      </c>
      <c r="AK4" s="35" t="s">
        <v>29</v>
      </c>
      <c r="AL4" s="35" t="s">
        <v>27</v>
      </c>
      <c r="AM4" s="35" t="s">
        <v>26</v>
      </c>
      <c r="AN4" s="35" t="s">
        <v>29</v>
      </c>
      <c r="AO4" s="35" t="s">
        <v>27</v>
      </c>
      <c r="AP4" s="35" t="s">
        <v>26</v>
      </c>
      <c r="AQ4" s="35" t="s">
        <v>29</v>
      </c>
      <c r="AR4" s="35" t="s">
        <v>27</v>
      </c>
      <c r="AS4" s="35" t="s">
        <v>26</v>
      </c>
      <c r="AT4" s="35" t="s">
        <v>29</v>
      </c>
      <c r="AU4" s="35" t="s">
        <v>27</v>
      </c>
      <c r="AV4" s="35" t="s">
        <v>26</v>
      </c>
      <c r="AW4" s="35" t="s">
        <v>29</v>
      </c>
      <c r="AX4" s="35" t="s">
        <v>27</v>
      </c>
      <c r="AY4" s="35" t="s">
        <v>26</v>
      </c>
      <c r="AZ4" s="35" t="s">
        <v>29</v>
      </c>
      <c r="BA4" s="35" t="s">
        <v>27</v>
      </c>
    </row>
    <row r="5" spans="2:53" x14ac:dyDescent="0.35">
      <c r="B5" s="340"/>
      <c r="C5" s="7"/>
      <c r="D5" s="8"/>
      <c r="E5" s="8"/>
      <c r="F5" s="8"/>
      <c r="G5" s="8"/>
      <c r="H5" s="8"/>
      <c r="I5" s="8"/>
      <c r="J5" s="8"/>
      <c r="K5" s="8"/>
      <c r="L5" s="9"/>
      <c r="O5" s="35">
        <f>F12</f>
        <v>0</v>
      </c>
      <c r="P5" s="35">
        <f>F14</f>
        <v>0</v>
      </c>
      <c r="Q5" s="35">
        <f>F10</f>
        <v>0</v>
      </c>
      <c r="R5" s="35">
        <f>F16</f>
        <v>0</v>
      </c>
      <c r="S5" s="35">
        <f>K20</f>
        <v>0</v>
      </c>
      <c r="T5" s="35">
        <f>F20</f>
        <v>0</v>
      </c>
      <c r="U5" s="35">
        <f>F22</f>
        <v>0</v>
      </c>
      <c r="V5" s="35">
        <f>I22</f>
        <v>0</v>
      </c>
      <c r="W5" s="35">
        <f>K22</f>
        <v>0</v>
      </c>
      <c r="X5" s="35">
        <f>F24</f>
        <v>0</v>
      </c>
      <c r="Y5" s="35">
        <f>I24</f>
        <v>0</v>
      </c>
      <c r="Z5" s="35">
        <f>K24</f>
        <v>0</v>
      </c>
      <c r="AA5" s="35" t="e">
        <f>#REF!</f>
        <v>#REF!</v>
      </c>
      <c r="AB5" s="35" t="e">
        <f>#REF!</f>
        <v>#REF!</v>
      </c>
      <c r="AC5" s="35" t="e">
        <f>#REF!</f>
        <v>#REF!</v>
      </c>
      <c r="AD5" s="35">
        <f>F26</f>
        <v>0</v>
      </c>
      <c r="AE5" s="35">
        <f>I26</f>
        <v>0</v>
      </c>
      <c r="AF5" s="35">
        <f>K26</f>
        <v>0</v>
      </c>
      <c r="AG5" s="35">
        <f>$F29</f>
        <v>0</v>
      </c>
      <c r="AH5" s="35">
        <f>$I29</f>
        <v>0</v>
      </c>
      <c r="AI5" s="35">
        <f>$K29</f>
        <v>0</v>
      </c>
      <c r="AJ5" s="35">
        <f>$F31</f>
        <v>0</v>
      </c>
      <c r="AK5" s="35">
        <f>$I31</f>
        <v>0</v>
      </c>
      <c r="AL5" s="35">
        <f>$K31</f>
        <v>0</v>
      </c>
      <c r="AM5" s="35">
        <f>$F33</f>
        <v>0</v>
      </c>
      <c r="AN5" s="35">
        <f>$I33</f>
        <v>0</v>
      </c>
      <c r="AO5" s="35">
        <f>$K33</f>
        <v>0</v>
      </c>
      <c r="AP5" s="35">
        <f>$F35</f>
        <v>0</v>
      </c>
      <c r="AQ5" s="35">
        <f>$I35</f>
        <v>0</v>
      </c>
      <c r="AR5" s="35">
        <f>$K35</f>
        <v>0</v>
      </c>
      <c r="AS5" s="35">
        <f>$F37</f>
        <v>0</v>
      </c>
      <c r="AT5" s="35">
        <f>$I37</f>
        <v>0</v>
      </c>
      <c r="AU5" s="35">
        <f>$K37</f>
        <v>0</v>
      </c>
      <c r="AV5" s="35">
        <f>$F39</f>
        <v>0</v>
      </c>
      <c r="AW5" s="35">
        <f>$I39</f>
        <v>0</v>
      </c>
      <c r="AX5" s="35">
        <f>$K39</f>
        <v>0</v>
      </c>
      <c r="AY5" s="35">
        <f>$F41</f>
        <v>0</v>
      </c>
      <c r="AZ5" s="35">
        <f>$I41</f>
        <v>0</v>
      </c>
      <c r="BA5" s="35">
        <f>$K41</f>
        <v>0</v>
      </c>
    </row>
    <row r="6" spans="2:53" x14ac:dyDescent="0.35">
      <c r="B6" s="340"/>
      <c r="C6" s="7"/>
      <c r="D6" s="8"/>
      <c r="E6" s="8"/>
      <c r="F6" s="8"/>
      <c r="G6" s="8"/>
      <c r="H6" s="8"/>
      <c r="I6" s="8"/>
      <c r="J6" s="8"/>
      <c r="K6" s="8"/>
      <c r="L6" s="9"/>
      <c r="P6" s="342"/>
    </row>
    <row r="7" spans="2:53" x14ac:dyDescent="0.35">
      <c r="B7" s="340"/>
      <c r="C7" s="7"/>
      <c r="D7" s="8" t="s">
        <v>84</v>
      </c>
      <c r="E7" s="8"/>
      <c r="F7" s="8"/>
      <c r="G7" s="8"/>
      <c r="H7" s="8"/>
      <c r="I7" s="8"/>
      <c r="J7" s="8"/>
      <c r="K7" s="8"/>
      <c r="L7" s="9"/>
      <c r="P7" s="342"/>
    </row>
    <row r="8" spans="2:53" x14ac:dyDescent="0.35">
      <c r="B8" s="340"/>
      <c r="C8" s="7"/>
      <c r="D8" s="8" t="s">
        <v>107</v>
      </c>
      <c r="E8" s="8"/>
      <c r="F8" s="8"/>
      <c r="G8" s="8"/>
      <c r="H8" s="8"/>
      <c r="I8" s="8"/>
      <c r="J8" s="8"/>
      <c r="K8" s="8"/>
      <c r="L8" s="9"/>
      <c r="P8" s="342"/>
    </row>
    <row r="9" spans="2:53" x14ac:dyDescent="0.35">
      <c r="B9" s="340"/>
      <c r="C9" s="7"/>
      <c r="D9" s="8"/>
      <c r="E9" s="8"/>
      <c r="F9" s="8"/>
      <c r="G9" s="8"/>
      <c r="H9" s="8"/>
      <c r="I9" s="8"/>
      <c r="J9" s="8"/>
      <c r="K9" s="8"/>
      <c r="L9" s="9"/>
      <c r="P9" s="342"/>
    </row>
    <row r="10" spans="2:53" s="40" customFormat="1" ht="22" customHeight="1" x14ac:dyDescent="0.35">
      <c r="B10" s="343"/>
      <c r="C10" s="36"/>
      <c r="D10" s="344" t="s">
        <v>106</v>
      </c>
      <c r="E10" s="37" t="s">
        <v>6</v>
      </c>
      <c r="F10" s="38"/>
      <c r="G10" s="38"/>
      <c r="H10" s="38"/>
      <c r="I10" s="38"/>
      <c r="J10" s="38"/>
      <c r="K10" s="38"/>
      <c r="L10" s="39"/>
      <c r="P10" s="345"/>
    </row>
    <row r="11" spans="2:53" s="40" customFormat="1" ht="4" customHeight="1" x14ac:dyDescent="0.35">
      <c r="B11" s="343"/>
      <c r="C11" s="36"/>
      <c r="D11" s="344"/>
      <c r="E11" s="37"/>
      <c r="F11" s="37"/>
      <c r="G11" s="37"/>
      <c r="H11" s="37"/>
      <c r="I11" s="37"/>
      <c r="J11" s="37"/>
      <c r="K11" s="37"/>
      <c r="L11" s="39"/>
      <c r="P11" s="345"/>
    </row>
    <row r="12" spans="2:53" s="40" customFormat="1" ht="22" customHeight="1" x14ac:dyDescent="0.35">
      <c r="B12" s="343"/>
      <c r="C12" s="36"/>
      <c r="D12" s="344" t="s">
        <v>87</v>
      </c>
      <c r="E12" s="37" t="s">
        <v>6</v>
      </c>
      <c r="F12" s="38"/>
      <c r="G12" s="38"/>
      <c r="H12" s="38"/>
      <c r="I12" s="38"/>
      <c r="J12" s="38"/>
      <c r="K12" s="38"/>
      <c r="L12" s="39"/>
      <c r="P12" s="345"/>
    </row>
    <row r="13" spans="2:53" s="40" customFormat="1" ht="4" customHeight="1" x14ac:dyDescent="0.35">
      <c r="B13" s="343"/>
      <c r="C13" s="36"/>
      <c r="D13" s="344"/>
      <c r="E13" s="37"/>
      <c r="F13" s="37"/>
      <c r="G13" s="37"/>
      <c r="H13" s="37"/>
      <c r="I13" s="37"/>
      <c r="J13" s="37"/>
      <c r="K13" s="37"/>
      <c r="L13" s="39"/>
      <c r="P13" s="345"/>
    </row>
    <row r="14" spans="2:53" s="40" customFormat="1" ht="22" customHeight="1" x14ac:dyDescent="0.35">
      <c r="B14" s="343"/>
      <c r="C14" s="36"/>
      <c r="D14" s="344" t="s">
        <v>88</v>
      </c>
      <c r="E14" s="37" t="s">
        <v>6</v>
      </c>
      <c r="F14" s="38"/>
      <c r="G14" s="38"/>
      <c r="H14" s="38"/>
      <c r="I14" s="38"/>
      <c r="J14" s="38"/>
      <c r="K14" s="38"/>
      <c r="L14" s="39"/>
      <c r="P14" s="345"/>
    </row>
    <row r="15" spans="2:53" s="40" customFormat="1" ht="4" customHeight="1" x14ac:dyDescent="0.35">
      <c r="B15" s="343"/>
      <c r="C15" s="36"/>
      <c r="D15" s="344"/>
      <c r="E15" s="37"/>
      <c r="F15" s="37"/>
      <c r="G15" s="37"/>
      <c r="H15" s="37"/>
      <c r="I15" s="37"/>
      <c r="J15" s="37"/>
      <c r="K15" s="37"/>
      <c r="L15" s="39"/>
      <c r="P15" s="345"/>
    </row>
    <row r="16" spans="2:53" s="40" customFormat="1" ht="22" customHeight="1" x14ac:dyDescent="0.35">
      <c r="B16" s="343"/>
      <c r="C16" s="36"/>
      <c r="D16" s="344" t="s">
        <v>89</v>
      </c>
      <c r="E16" s="37" t="s">
        <v>6</v>
      </c>
      <c r="F16" s="38"/>
      <c r="G16" s="38"/>
      <c r="H16" s="38"/>
      <c r="I16" s="38"/>
      <c r="J16" s="38"/>
      <c r="K16" s="38"/>
      <c r="L16" s="39"/>
      <c r="P16" s="345"/>
    </row>
    <row r="17" spans="2:16" s="40" customFormat="1" ht="4" customHeight="1" x14ac:dyDescent="0.35">
      <c r="B17" s="343"/>
      <c r="C17" s="36"/>
      <c r="D17" s="344"/>
      <c r="E17" s="37"/>
      <c r="F17" s="37"/>
      <c r="G17" s="37"/>
      <c r="H17" s="37"/>
      <c r="I17" s="37"/>
      <c r="J17" s="37"/>
      <c r="K17" s="37"/>
      <c r="L17" s="39"/>
      <c r="P17" s="345"/>
    </row>
    <row r="18" spans="2:16" s="40" customFormat="1" ht="22" customHeight="1" x14ac:dyDescent="0.35">
      <c r="B18" s="343"/>
      <c r="C18" s="36"/>
      <c r="D18" s="344" t="s">
        <v>90</v>
      </c>
      <c r="E18" s="37" t="s">
        <v>6</v>
      </c>
      <c r="F18" s="38"/>
      <c r="G18" s="38"/>
      <c r="H18" s="38"/>
      <c r="I18" s="38"/>
      <c r="J18" s="38"/>
      <c r="K18" s="38"/>
      <c r="L18" s="39"/>
      <c r="P18" s="345"/>
    </row>
    <row r="19" spans="2:16" s="40" customFormat="1" ht="4" customHeight="1" x14ac:dyDescent="0.35">
      <c r="B19" s="343"/>
      <c r="C19" s="36"/>
      <c r="D19" s="344"/>
      <c r="E19" s="37"/>
      <c r="F19" s="37"/>
      <c r="G19" s="37"/>
      <c r="H19" s="37"/>
      <c r="I19" s="37"/>
      <c r="J19" s="37"/>
      <c r="K19" s="37"/>
      <c r="L19" s="39"/>
      <c r="P19" s="345"/>
    </row>
    <row r="20" spans="2:16" s="40" customFormat="1" ht="22" customHeight="1" x14ac:dyDescent="0.35">
      <c r="B20" s="343"/>
      <c r="C20" s="36"/>
      <c r="D20" s="344" t="s">
        <v>91</v>
      </c>
      <c r="E20" s="37" t="s">
        <v>6</v>
      </c>
      <c r="F20" s="38"/>
      <c r="G20" s="38"/>
      <c r="H20" s="38"/>
      <c r="I20" s="38"/>
      <c r="J20" s="38" t="s">
        <v>92</v>
      </c>
      <c r="K20" s="38"/>
      <c r="L20" s="39"/>
      <c r="P20" s="345"/>
    </row>
    <row r="21" spans="2:16" s="40" customFormat="1" ht="4" customHeight="1" x14ac:dyDescent="0.35">
      <c r="B21" s="343"/>
      <c r="C21" s="36"/>
      <c r="D21" s="344"/>
      <c r="E21" s="37"/>
      <c r="F21" s="37"/>
      <c r="G21" s="37"/>
      <c r="H21" s="37"/>
      <c r="I21" s="37"/>
      <c r="J21" s="37"/>
      <c r="K21" s="37"/>
      <c r="L21" s="39"/>
      <c r="P21" s="345"/>
    </row>
    <row r="22" spans="2:16" s="40" customFormat="1" ht="22" customHeight="1" x14ac:dyDescent="0.35">
      <c r="B22" s="343"/>
      <c r="C22" s="36"/>
      <c r="D22" s="344" t="s">
        <v>78</v>
      </c>
      <c r="E22" s="37" t="s">
        <v>6</v>
      </c>
      <c r="F22" s="38"/>
      <c r="G22" s="38"/>
      <c r="H22" s="38" t="s">
        <v>93</v>
      </c>
      <c r="I22" s="38"/>
      <c r="J22" s="38" t="s">
        <v>94</v>
      </c>
      <c r="K22" s="38"/>
      <c r="L22" s="39"/>
      <c r="P22" s="345"/>
    </row>
    <row r="23" spans="2:16" s="40" customFormat="1" ht="4" customHeight="1" x14ac:dyDescent="0.35">
      <c r="B23" s="343"/>
      <c r="C23" s="36"/>
      <c r="D23" s="344"/>
      <c r="E23" s="37"/>
      <c r="F23" s="37"/>
      <c r="G23" s="37"/>
      <c r="H23" s="37"/>
      <c r="I23" s="37"/>
      <c r="J23" s="37"/>
      <c r="K23" s="37"/>
      <c r="L23" s="39"/>
      <c r="P23" s="345"/>
    </row>
    <row r="24" spans="2:16" s="40" customFormat="1" ht="22" customHeight="1" x14ac:dyDescent="0.35">
      <c r="B24" s="343"/>
      <c r="C24" s="36"/>
      <c r="D24" s="354" t="s">
        <v>79</v>
      </c>
      <c r="E24" s="354" t="s">
        <v>6</v>
      </c>
      <c r="F24" s="44"/>
      <c r="G24" s="44"/>
      <c r="H24" s="44" t="s">
        <v>93</v>
      </c>
      <c r="I24" s="44"/>
      <c r="J24" s="44" t="s">
        <v>94</v>
      </c>
      <c r="K24" s="44"/>
      <c r="L24" s="39"/>
      <c r="P24" s="345"/>
    </row>
    <row r="25" spans="2:16" s="40" customFormat="1" ht="4" customHeight="1" x14ac:dyDescent="0.35">
      <c r="B25" s="343"/>
      <c r="C25" s="36"/>
      <c r="D25" s="344"/>
      <c r="E25" s="37"/>
      <c r="F25" s="37"/>
      <c r="G25" s="37"/>
      <c r="H25" s="37"/>
      <c r="I25" s="37"/>
      <c r="J25" s="37"/>
      <c r="K25" s="37"/>
      <c r="L25" s="39"/>
      <c r="P25" s="345"/>
    </row>
    <row r="26" spans="2:16" s="40" customFormat="1" ht="22" customHeight="1" x14ac:dyDescent="0.35">
      <c r="B26" s="343"/>
      <c r="C26" s="36"/>
      <c r="D26" s="344" t="s">
        <v>81</v>
      </c>
      <c r="E26" s="37" t="s">
        <v>6</v>
      </c>
      <c r="F26" s="38"/>
      <c r="G26" s="38"/>
      <c r="H26" s="38" t="s">
        <v>93</v>
      </c>
      <c r="I26" s="38"/>
      <c r="J26" s="38" t="s">
        <v>94</v>
      </c>
      <c r="K26" s="38"/>
      <c r="L26" s="39"/>
      <c r="P26" s="345"/>
    </row>
    <row r="27" spans="2:16" s="40" customFormat="1" ht="4" customHeight="1" x14ac:dyDescent="0.35">
      <c r="B27" s="343"/>
      <c r="C27" s="36"/>
      <c r="D27" s="344"/>
      <c r="E27" s="37"/>
      <c r="F27" s="37"/>
      <c r="G27" s="37"/>
      <c r="H27" s="37"/>
      <c r="I27" s="37"/>
      <c r="J27" s="37"/>
      <c r="K27" s="37"/>
      <c r="L27" s="39"/>
      <c r="P27" s="345"/>
    </row>
    <row r="28" spans="2:16" s="40" customFormat="1" ht="22" customHeight="1" x14ac:dyDescent="0.35">
      <c r="B28" s="343"/>
      <c r="C28" s="36"/>
      <c r="D28" s="344" t="s">
        <v>82</v>
      </c>
      <c r="E28" s="37"/>
      <c r="F28" s="346"/>
      <c r="G28" s="37"/>
      <c r="H28" s="37"/>
      <c r="I28" s="37"/>
      <c r="J28" s="37"/>
      <c r="K28" s="37"/>
      <c r="L28" s="39"/>
      <c r="P28" s="345"/>
    </row>
    <row r="29" spans="2:16" s="40" customFormat="1" ht="22" customHeight="1" x14ac:dyDescent="0.35">
      <c r="B29" s="343"/>
      <c r="C29" s="36"/>
      <c r="D29" s="347" t="s">
        <v>96</v>
      </c>
      <c r="E29" s="37" t="s">
        <v>6</v>
      </c>
      <c r="F29" s="38"/>
      <c r="G29" s="38"/>
      <c r="H29" s="38" t="s">
        <v>93</v>
      </c>
      <c r="I29" s="38"/>
      <c r="J29" s="38" t="s">
        <v>94</v>
      </c>
      <c r="K29" s="38"/>
      <c r="L29" s="39"/>
      <c r="P29" s="345"/>
    </row>
    <row r="30" spans="2:16" s="40" customFormat="1" ht="4" customHeight="1" x14ac:dyDescent="0.35">
      <c r="B30" s="343"/>
      <c r="C30" s="36"/>
      <c r="D30" s="348"/>
      <c r="E30" s="37"/>
      <c r="F30" s="346"/>
      <c r="G30" s="37"/>
      <c r="H30" s="37"/>
      <c r="I30" s="37"/>
      <c r="J30" s="37"/>
      <c r="K30" s="37"/>
      <c r="L30" s="39"/>
      <c r="P30" s="345"/>
    </row>
    <row r="31" spans="2:16" s="40" customFormat="1" ht="22" customHeight="1" x14ac:dyDescent="0.35">
      <c r="B31" s="343"/>
      <c r="C31" s="36"/>
      <c r="D31" s="347" t="s">
        <v>97</v>
      </c>
      <c r="E31" s="37" t="s">
        <v>6</v>
      </c>
      <c r="F31" s="38"/>
      <c r="G31" s="38"/>
      <c r="H31" s="38" t="s">
        <v>93</v>
      </c>
      <c r="I31" s="38"/>
      <c r="J31" s="38" t="s">
        <v>94</v>
      </c>
      <c r="K31" s="38"/>
      <c r="L31" s="39"/>
      <c r="P31" s="345"/>
    </row>
    <row r="32" spans="2:16" s="40" customFormat="1" ht="4" customHeight="1" x14ac:dyDescent="0.35">
      <c r="B32" s="343"/>
      <c r="C32" s="36"/>
      <c r="D32" s="349"/>
      <c r="E32" s="37"/>
      <c r="F32" s="346"/>
      <c r="G32" s="37"/>
      <c r="H32" s="37"/>
      <c r="I32" s="37"/>
      <c r="J32" s="37"/>
      <c r="K32" s="37"/>
      <c r="L32" s="39"/>
      <c r="P32" s="345"/>
    </row>
    <row r="33" spans="2:16" s="40" customFormat="1" ht="22" customHeight="1" x14ac:dyDescent="0.35">
      <c r="B33" s="343"/>
      <c r="C33" s="36"/>
      <c r="D33" s="347" t="s">
        <v>98</v>
      </c>
      <c r="E33" s="37" t="s">
        <v>6</v>
      </c>
      <c r="F33" s="38"/>
      <c r="G33" s="38"/>
      <c r="H33" s="38" t="s">
        <v>93</v>
      </c>
      <c r="I33" s="38"/>
      <c r="J33" s="38" t="s">
        <v>94</v>
      </c>
      <c r="K33" s="38"/>
      <c r="L33" s="39"/>
      <c r="P33" s="345"/>
    </row>
    <row r="34" spans="2:16" s="40" customFormat="1" ht="4" customHeight="1" x14ac:dyDescent="0.35">
      <c r="B34" s="343"/>
      <c r="C34" s="36"/>
      <c r="D34" s="349"/>
      <c r="E34" s="37"/>
      <c r="F34" s="346"/>
      <c r="G34" s="37"/>
      <c r="H34" s="37"/>
      <c r="I34" s="37"/>
      <c r="J34" s="37"/>
      <c r="K34" s="37"/>
      <c r="L34" s="39"/>
      <c r="P34" s="345"/>
    </row>
    <row r="35" spans="2:16" s="40" customFormat="1" ht="22" customHeight="1" x14ac:dyDescent="0.35">
      <c r="B35" s="343"/>
      <c r="C35" s="36"/>
      <c r="D35" s="347" t="s">
        <v>99</v>
      </c>
      <c r="E35" s="37" t="s">
        <v>6</v>
      </c>
      <c r="F35" s="38"/>
      <c r="G35" s="38"/>
      <c r="H35" s="38" t="s">
        <v>93</v>
      </c>
      <c r="I35" s="38"/>
      <c r="J35" s="38" t="s">
        <v>94</v>
      </c>
      <c r="K35" s="38"/>
      <c r="L35" s="39"/>
      <c r="P35" s="345"/>
    </row>
    <row r="36" spans="2:16" s="40" customFormat="1" ht="4" customHeight="1" x14ac:dyDescent="0.35">
      <c r="B36" s="343"/>
      <c r="C36" s="36"/>
      <c r="D36" s="349"/>
      <c r="E36" s="37"/>
      <c r="F36" s="346"/>
      <c r="G36" s="37"/>
      <c r="H36" s="37"/>
      <c r="I36" s="37"/>
      <c r="J36" s="37"/>
      <c r="K36" s="37"/>
      <c r="L36" s="39"/>
      <c r="P36" s="345"/>
    </row>
    <row r="37" spans="2:16" s="40" customFormat="1" ht="22" customHeight="1" x14ac:dyDescent="0.35">
      <c r="B37" s="343"/>
      <c r="C37" s="36"/>
      <c r="D37" s="347" t="s">
        <v>100</v>
      </c>
      <c r="E37" s="37" t="s">
        <v>6</v>
      </c>
      <c r="F37" s="38"/>
      <c r="G37" s="38"/>
      <c r="H37" s="38" t="s">
        <v>93</v>
      </c>
      <c r="I37" s="38"/>
      <c r="J37" s="38" t="s">
        <v>94</v>
      </c>
      <c r="K37" s="38"/>
      <c r="L37" s="39"/>
      <c r="P37" s="345"/>
    </row>
    <row r="38" spans="2:16" s="40" customFormat="1" ht="4" customHeight="1" x14ac:dyDescent="0.35">
      <c r="B38" s="343"/>
      <c r="C38" s="36"/>
      <c r="D38" s="349"/>
      <c r="E38" s="37"/>
      <c r="F38" s="346"/>
      <c r="G38" s="37"/>
      <c r="H38" s="37"/>
      <c r="I38" s="37"/>
      <c r="J38" s="37"/>
      <c r="K38" s="37"/>
      <c r="L38" s="39"/>
      <c r="P38" s="345"/>
    </row>
    <row r="39" spans="2:16" s="40" customFormat="1" ht="22" customHeight="1" x14ac:dyDescent="0.35">
      <c r="B39" s="343"/>
      <c r="C39" s="36"/>
      <c r="D39" s="347" t="s">
        <v>101</v>
      </c>
      <c r="E39" s="37" t="s">
        <v>6</v>
      </c>
      <c r="F39" s="38"/>
      <c r="G39" s="38"/>
      <c r="H39" s="38" t="s">
        <v>93</v>
      </c>
      <c r="I39" s="38"/>
      <c r="J39" s="38" t="s">
        <v>94</v>
      </c>
      <c r="K39" s="38"/>
      <c r="L39" s="39"/>
      <c r="P39" s="345"/>
    </row>
    <row r="40" spans="2:16" s="40" customFormat="1" ht="4" customHeight="1" x14ac:dyDescent="0.35">
      <c r="B40" s="343"/>
      <c r="C40" s="36"/>
      <c r="D40" s="349"/>
      <c r="E40" s="37"/>
      <c r="F40" s="346"/>
      <c r="G40" s="37"/>
      <c r="H40" s="37"/>
      <c r="I40" s="37"/>
      <c r="J40" s="37"/>
      <c r="K40" s="37"/>
      <c r="L40" s="39"/>
      <c r="P40" s="345"/>
    </row>
    <row r="41" spans="2:16" s="40" customFormat="1" ht="22" customHeight="1" x14ac:dyDescent="0.35">
      <c r="B41" s="343"/>
      <c r="C41" s="36"/>
      <c r="D41" s="347" t="s">
        <v>102</v>
      </c>
      <c r="E41" s="37" t="s">
        <v>6</v>
      </c>
      <c r="F41" s="38"/>
      <c r="G41" s="38"/>
      <c r="H41" s="38" t="s">
        <v>93</v>
      </c>
      <c r="I41" s="38"/>
      <c r="J41" s="38" t="s">
        <v>94</v>
      </c>
      <c r="K41" s="38"/>
      <c r="L41" s="39"/>
      <c r="P41" s="345"/>
    </row>
    <row r="42" spans="2:16" s="40" customFormat="1" ht="4" customHeight="1" x14ac:dyDescent="0.35">
      <c r="B42" s="343"/>
      <c r="C42" s="36"/>
      <c r="D42" s="37"/>
      <c r="E42" s="37"/>
      <c r="F42" s="346"/>
      <c r="G42" s="37"/>
      <c r="H42" s="37"/>
      <c r="I42" s="37"/>
      <c r="J42" s="37"/>
      <c r="K42" s="37"/>
      <c r="L42" s="39"/>
      <c r="P42" s="345"/>
    </row>
    <row r="43" spans="2:16" s="40" customFormat="1" ht="22" customHeight="1" x14ac:dyDescent="0.35">
      <c r="B43" s="343"/>
      <c r="C43" s="36"/>
      <c r="D43" s="38"/>
      <c r="E43" s="38"/>
      <c r="F43" s="38"/>
      <c r="G43" s="37" t="s">
        <v>103</v>
      </c>
      <c r="H43" s="37"/>
      <c r="I43" s="37"/>
      <c r="J43" s="37"/>
      <c r="K43" s="37"/>
      <c r="L43" s="39"/>
      <c r="P43" s="345"/>
    </row>
    <row r="44" spans="2:16" s="40" customFormat="1" ht="22" customHeight="1" x14ac:dyDescent="0.35">
      <c r="B44" s="343"/>
      <c r="C44" s="36"/>
      <c r="D44" s="37"/>
      <c r="E44" s="37"/>
      <c r="F44" s="37"/>
      <c r="G44" s="37"/>
      <c r="H44" s="37"/>
      <c r="I44" s="37"/>
      <c r="J44" s="37"/>
      <c r="K44" s="37"/>
      <c r="L44" s="39"/>
      <c r="P44" s="345"/>
    </row>
    <row r="45" spans="2:16" s="40" customFormat="1" ht="15" customHeight="1" x14ac:dyDescent="0.35">
      <c r="B45" s="343"/>
      <c r="C45" s="36"/>
      <c r="D45" s="350"/>
      <c r="E45" s="412"/>
      <c r="F45" s="412"/>
      <c r="G45" s="412"/>
      <c r="H45" s="37"/>
      <c r="I45" s="37"/>
      <c r="J45" s="37"/>
      <c r="K45" s="37"/>
      <c r="L45" s="39"/>
      <c r="P45" s="345"/>
    </row>
    <row r="46" spans="2:16" s="40" customFormat="1" ht="22" customHeight="1" x14ac:dyDescent="0.35">
      <c r="B46" s="343"/>
      <c r="C46" s="36"/>
      <c r="D46" s="37"/>
      <c r="E46" s="37"/>
      <c r="F46" s="37"/>
      <c r="G46" s="37"/>
      <c r="H46" s="37"/>
      <c r="I46" s="37"/>
      <c r="J46" s="37"/>
      <c r="K46" s="37"/>
      <c r="L46" s="39"/>
      <c r="P46" s="345"/>
    </row>
    <row r="47" spans="2:16" x14ac:dyDescent="0.35">
      <c r="B47" s="340"/>
      <c r="C47" s="7"/>
      <c r="D47" s="8"/>
      <c r="E47" s="8"/>
      <c r="F47" s="8"/>
      <c r="G47" s="8"/>
      <c r="H47" s="8"/>
      <c r="I47" s="8"/>
      <c r="J47" s="8"/>
      <c r="K47" s="8"/>
      <c r="L47" s="9"/>
      <c r="P47" s="342"/>
    </row>
    <row r="48" spans="2:16" x14ac:dyDescent="0.35">
      <c r="B48" s="340"/>
      <c r="C48" s="7"/>
      <c r="D48" s="8"/>
      <c r="E48" s="8"/>
      <c r="F48" s="8"/>
      <c r="G48" s="8"/>
      <c r="H48" s="8"/>
      <c r="I48" s="8"/>
      <c r="J48" s="8"/>
      <c r="K48" s="8"/>
      <c r="L48" s="9"/>
      <c r="P48" s="342"/>
    </row>
    <row r="49" spans="2:16" s="40" customFormat="1" ht="15" customHeight="1" x14ac:dyDescent="0.35">
      <c r="B49" s="343"/>
      <c r="C49" s="36"/>
      <c r="D49" s="350"/>
      <c r="E49" s="412"/>
      <c r="F49" s="412"/>
      <c r="G49" s="412"/>
      <c r="H49" s="37"/>
      <c r="I49" s="37"/>
      <c r="J49" s="37"/>
      <c r="K49" s="37"/>
      <c r="L49" s="39"/>
      <c r="P49" s="345"/>
    </row>
    <row r="50" spans="2:16" x14ac:dyDescent="0.35">
      <c r="B50" s="340"/>
      <c r="C50" s="10"/>
      <c r="D50" s="11"/>
      <c r="E50" s="11"/>
      <c r="F50" s="11"/>
      <c r="G50" s="11"/>
      <c r="H50" s="11"/>
      <c r="I50" s="11"/>
      <c r="J50" s="11"/>
      <c r="K50" s="11"/>
      <c r="L50" s="12"/>
      <c r="P50" s="342"/>
    </row>
    <row r="51" spans="2:16" x14ac:dyDescent="0.35">
      <c r="B51" s="340"/>
      <c r="P51" s="342"/>
    </row>
    <row r="52" spans="2:16" x14ac:dyDescent="0.35">
      <c r="B52" s="340"/>
      <c r="P52" s="342"/>
    </row>
    <row r="53" spans="2:16" x14ac:dyDescent="0.35">
      <c r="B53" s="340"/>
      <c r="P53" s="342"/>
    </row>
    <row r="54" spans="2:16" x14ac:dyDescent="0.35">
      <c r="B54" s="340"/>
      <c r="P54" s="342"/>
    </row>
    <row r="55" spans="2:16" x14ac:dyDescent="0.35">
      <c r="B55" s="340"/>
      <c r="P55" s="342"/>
    </row>
    <row r="56" spans="2:16" x14ac:dyDescent="0.35">
      <c r="B56" s="340"/>
      <c r="P56" s="342"/>
    </row>
    <row r="57" spans="2:16" x14ac:dyDescent="0.35">
      <c r="B57" s="340"/>
      <c r="P57" s="342"/>
    </row>
    <row r="58" spans="2:16" x14ac:dyDescent="0.35">
      <c r="B58" s="340"/>
      <c r="P58" s="342"/>
    </row>
    <row r="59" spans="2:16" x14ac:dyDescent="0.35">
      <c r="B59" s="340"/>
      <c r="P59" s="342"/>
    </row>
    <row r="60" spans="2:16" x14ac:dyDescent="0.35">
      <c r="B60" s="340"/>
      <c r="P60" s="342"/>
    </row>
    <row r="61" spans="2:16" x14ac:dyDescent="0.35">
      <c r="B61" s="340"/>
      <c r="P61" s="342"/>
    </row>
    <row r="62" spans="2:16" x14ac:dyDescent="0.35">
      <c r="B62" s="340"/>
      <c r="P62" s="342"/>
    </row>
    <row r="63" spans="2:16" x14ac:dyDescent="0.35">
      <c r="B63" s="340"/>
      <c r="P63" s="342"/>
    </row>
    <row r="64" spans="2:16" x14ac:dyDescent="0.35">
      <c r="B64" s="340"/>
      <c r="P64" s="342"/>
    </row>
    <row r="65" spans="2:16" x14ac:dyDescent="0.35">
      <c r="B65" s="340"/>
      <c r="P65" s="342"/>
    </row>
    <row r="66" spans="2:16" x14ac:dyDescent="0.35">
      <c r="B66" s="351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3"/>
    </row>
  </sheetData>
  <mergeCells count="20">
    <mergeCell ref="E45:G45"/>
    <mergeCell ref="E49:G49"/>
    <mergeCell ref="AM3:AO3"/>
    <mergeCell ref="AP3:AR3"/>
    <mergeCell ref="AS3:AU3"/>
    <mergeCell ref="AV3:AX3"/>
    <mergeCell ref="AY3:BA3"/>
    <mergeCell ref="F4:L4"/>
    <mergeCell ref="U3:W3"/>
    <mergeCell ref="X3:Z3"/>
    <mergeCell ref="AA3:AC3"/>
    <mergeCell ref="AD3:AF3"/>
    <mergeCell ref="AG3:AI3"/>
    <mergeCell ref="AJ3:AL3"/>
    <mergeCell ref="O3:O4"/>
    <mergeCell ref="P3:P4"/>
    <mergeCell ref="Q3:Q4"/>
    <mergeCell ref="R3:R4"/>
    <mergeCell ref="S3:S4"/>
    <mergeCell ref="T3:T4"/>
  </mergeCells>
  <pageMargins left="0.7" right="0.75" top="0.75" bottom="0.75" header="0.3" footer="0.3"/>
  <pageSetup paperSize="9" orientation="portrait" r:id="rId1"/>
  <headerFooter>
    <oddFooter>&amp;R&amp;"Palatino Linotype,Italic"&amp;10Management Improvement 2012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0AAC-8F19-4ED9-8F7F-1CD8789465F9}">
  <dimension ref="B2:BA66"/>
  <sheetViews>
    <sheetView showGridLines="0" workbookViewId="0">
      <selection activeCell="A12" sqref="A12:H26"/>
    </sheetView>
  </sheetViews>
  <sheetFormatPr defaultRowHeight="14.5" x14ac:dyDescent="0.35"/>
  <cols>
    <col min="3" max="3" width="1.81640625" customWidth="1"/>
    <col min="4" max="4" width="25.1796875" customWidth="1"/>
    <col min="5" max="5" width="1.81640625" customWidth="1"/>
    <col min="12" max="13" width="9.1796875" customWidth="1"/>
    <col min="14" max="15" width="0" hidden="1" customWidth="1"/>
    <col min="16" max="17" width="12" hidden="1" customWidth="1"/>
    <col min="18" max="18" width="10.1796875" hidden="1" customWidth="1"/>
    <col min="19" max="19" width="9.81640625" hidden="1" customWidth="1"/>
    <col min="20" max="20" width="37.81640625" hidden="1" customWidth="1"/>
    <col min="21" max="54" width="0" hidden="1" customWidth="1"/>
  </cols>
  <sheetData>
    <row r="2" spans="2:53" x14ac:dyDescent="0.35">
      <c r="B2" s="337"/>
      <c r="C2" s="1"/>
      <c r="D2" s="2"/>
      <c r="E2" s="2"/>
      <c r="F2" s="2"/>
      <c r="G2" s="2"/>
      <c r="H2" s="2"/>
      <c r="I2" s="2"/>
      <c r="J2" s="2"/>
      <c r="K2" s="2"/>
      <c r="L2" s="3"/>
      <c r="M2" s="338"/>
      <c r="N2" s="338"/>
      <c r="O2" s="338"/>
      <c r="P2" s="339"/>
    </row>
    <row r="3" spans="2:53" x14ac:dyDescent="0.35">
      <c r="B3" s="340"/>
      <c r="C3" s="7"/>
      <c r="D3" s="8"/>
      <c r="E3" s="8"/>
      <c r="F3" s="8"/>
      <c r="G3" s="8"/>
      <c r="H3" s="8"/>
      <c r="I3" s="8"/>
      <c r="J3" s="8"/>
      <c r="K3" s="8"/>
      <c r="L3" s="9"/>
      <c r="O3" s="416" t="s">
        <v>0</v>
      </c>
      <c r="P3" s="417" t="s">
        <v>73</v>
      </c>
      <c r="Q3" s="419" t="s">
        <v>74</v>
      </c>
      <c r="R3" s="419" t="s">
        <v>75</v>
      </c>
      <c r="S3" s="419" t="s">
        <v>76</v>
      </c>
      <c r="T3" s="419" t="s">
        <v>77</v>
      </c>
      <c r="U3" s="413" t="s">
        <v>78</v>
      </c>
      <c r="V3" s="413"/>
      <c r="W3" s="413"/>
      <c r="X3" s="413" t="s">
        <v>79</v>
      </c>
      <c r="Y3" s="413"/>
      <c r="Z3" s="413"/>
      <c r="AA3" s="413" t="s">
        <v>80</v>
      </c>
      <c r="AB3" s="413"/>
      <c r="AC3" s="413"/>
      <c r="AD3" s="413" t="s">
        <v>81</v>
      </c>
      <c r="AE3" s="413"/>
      <c r="AF3" s="413"/>
      <c r="AG3" s="413" t="s">
        <v>82</v>
      </c>
      <c r="AH3" s="413"/>
      <c r="AI3" s="413"/>
      <c r="AJ3" s="413" t="s">
        <v>82</v>
      </c>
      <c r="AK3" s="413"/>
      <c r="AL3" s="413"/>
      <c r="AM3" s="413" t="s">
        <v>82</v>
      </c>
      <c r="AN3" s="413"/>
      <c r="AO3" s="413"/>
      <c r="AP3" s="413" t="s">
        <v>82</v>
      </c>
      <c r="AQ3" s="413"/>
      <c r="AR3" s="413"/>
      <c r="AS3" s="413" t="s">
        <v>82</v>
      </c>
      <c r="AT3" s="413"/>
      <c r="AU3" s="413"/>
      <c r="AV3" s="413" t="s">
        <v>82</v>
      </c>
      <c r="AW3" s="413"/>
      <c r="AX3" s="413"/>
      <c r="AY3" s="413" t="s">
        <v>82</v>
      </c>
      <c r="AZ3" s="413"/>
      <c r="BA3" s="413"/>
    </row>
    <row r="4" spans="2:53" ht="19" x14ac:dyDescent="0.4">
      <c r="B4" s="340"/>
      <c r="C4" s="7"/>
      <c r="D4" s="8"/>
      <c r="E4" s="8"/>
      <c r="F4" s="414" t="s">
        <v>108</v>
      </c>
      <c r="G4" s="414"/>
      <c r="H4" s="414"/>
      <c r="I4" s="414"/>
      <c r="J4" s="414"/>
      <c r="K4" s="414"/>
      <c r="L4" s="415"/>
      <c r="M4" s="341"/>
      <c r="O4" s="416"/>
      <c r="P4" s="418"/>
      <c r="Q4" s="420"/>
      <c r="R4" s="420"/>
      <c r="S4" s="420"/>
      <c r="T4" s="420"/>
      <c r="U4" s="35" t="s">
        <v>26</v>
      </c>
      <c r="V4" s="35" t="s">
        <v>29</v>
      </c>
      <c r="W4" s="35" t="s">
        <v>27</v>
      </c>
      <c r="X4" s="35" t="s">
        <v>26</v>
      </c>
      <c r="Y4" s="35" t="s">
        <v>29</v>
      </c>
      <c r="Z4" s="35" t="s">
        <v>27</v>
      </c>
      <c r="AA4" s="35" t="s">
        <v>26</v>
      </c>
      <c r="AB4" s="35" t="s">
        <v>29</v>
      </c>
      <c r="AC4" s="35" t="s">
        <v>27</v>
      </c>
      <c r="AD4" s="35" t="s">
        <v>83</v>
      </c>
      <c r="AE4" s="35" t="s">
        <v>29</v>
      </c>
      <c r="AF4" s="35" t="s">
        <v>27</v>
      </c>
      <c r="AG4" s="35" t="s">
        <v>26</v>
      </c>
      <c r="AH4" s="35" t="s">
        <v>29</v>
      </c>
      <c r="AI4" s="35" t="s">
        <v>27</v>
      </c>
      <c r="AJ4" s="35" t="s">
        <v>26</v>
      </c>
      <c r="AK4" s="35" t="s">
        <v>29</v>
      </c>
      <c r="AL4" s="35" t="s">
        <v>27</v>
      </c>
      <c r="AM4" s="35" t="s">
        <v>26</v>
      </c>
      <c r="AN4" s="35" t="s">
        <v>29</v>
      </c>
      <c r="AO4" s="35" t="s">
        <v>27</v>
      </c>
      <c r="AP4" s="35" t="s">
        <v>26</v>
      </c>
      <c r="AQ4" s="35" t="s">
        <v>29</v>
      </c>
      <c r="AR4" s="35" t="s">
        <v>27</v>
      </c>
      <c r="AS4" s="35" t="s">
        <v>26</v>
      </c>
      <c r="AT4" s="35" t="s">
        <v>29</v>
      </c>
      <c r="AU4" s="35" t="s">
        <v>27</v>
      </c>
      <c r="AV4" s="35" t="s">
        <v>26</v>
      </c>
      <c r="AW4" s="35" t="s">
        <v>29</v>
      </c>
      <c r="AX4" s="35" t="s">
        <v>27</v>
      </c>
      <c r="AY4" s="35" t="s">
        <v>26</v>
      </c>
      <c r="AZ4" s="35" t="s">
        <v>29</v>
      </c>
      <c r="BA4" s="35" t="s">
        <v>27</v>
      </c>
    </row>
    <row r="5" spans="2:53" x14ac:dyDescent="0.35">
      <c r="B5" s="340"/>
      <c r="C5" s="7"/>
      <c r="D5" s="8"/>
      <c r="E5" s="8"/>
      <c r="F5" s="8"/>
      <c r="G5" s="8"/>
      <c r="H5" s="8"/>
      <c r="I5" s="8"/>
      <c r="J5" s="8"/>
      <c r="K5" s="8"/>
      <c r="L5" s="9"/>
      <c r="O5" s="35">
        <f>F11</f>
        <v>0</v>
      </c>
      <c r="P5" s="35">
        <f>F13</f>
        <v>0</v>
      </c>
      <c r="Q5" s="35" t="e">
        <f>#REF!</f>
        <v>#REF!</v>
      </c>
      <c r="R5" s="35">
        <f>F15</f>
        <v>0</v>
      </c>
      <c r="S5" s="35">
        <f>K19</f>
        <v>0</v>
      </c>
      <c r="T5" s="35">
        <f>F19</f>
        <v>0</v>
      </c>
      <c r="U5" s="35">
        <f>F21</f>
        <v>0</v>
      </c>
      <c r="V5" s="35">
        <f>I21</f>
        <v>0</v>
      </c>
      <c r="W5" s="35">
        <f>K21</f>
        <v>0</v>
      </c>
      <c r="X5" s="35">
        <f>F23</f>
        <v>0</v>
      </c>
      <c r="Y5" s="35">
        <f>I23</f>
        <v>0</v>
      </c>
      <c r="Z5" s="35">
        <f>K23</f>
        <v>0</v>
      </c>
      <c r="AA5" s="35" t="e">
        <f>#REF!</f>
        <v>#REF!</v>
      </c>
      <c r="AB5" s="35" t="e">
        <f>#REF!</f>
        <v>#REF!</v>
      </c>
      <c r="AC5" s="35" t="e">
        <f>#REF!</f>
        <v>#REF!</v>
      </c>
      <c r="AD5" s="35">
        <f>F25</f>
        <v>0</v>
      </c>
      <c r="AE5" s="35">
        <f>I25</f>
        <v>0</v>
      </c>
      <c r="AF5" s="35">
        <f>K25</f>
        <v>0</v>
      </c>
      <c r="AG5" s="35">
        <f>$F28</f>
        <v>0</v>
      </c>
      <c r="AH5" s="35">
        <f>$I28</f>
        <v>0</v>
      </c>
      <c r="AI5" s="35">
        <f>$K28</f>
        <v>0</v>
      </c>
      <c r="AJ5" s="35">
        <f>$F30</f>
        <v>0</v>
      </c>
      <c r="AK5" s="35">
        <f>$I30</f>
        <v>0</v>
      </c>
      <c r="AL5" s="35">
        <f>$K30</f>
        <v>0</v>
      </c>
      <c r="AM5" s="35">
        <f>$F32</f>
        <v>0</v>
      </c>
      <c r="AN5" s="35">
        <f>$I32</f>
        <v>0</v>
      </c>
      <c r="AO5" s="35">
        <f>$K32</f>
        <v>0</v>
      </c>
      <c r="AP5" s="35">
        <f>$F34</f>
        <v>0</v>
      </c>
      <c r="AQ5" s="35">
        <f>$I34</f>
        <v>0</v>
      </c>
      <c r="AR5" s="35">
        <f>$K34</f>
        <v>0</v>
      </c>
      <c r="AS5" s="35">
        <f>$F36</f>
        <v>0</v>
      </c>
      <c r="AT5" s="35">
        <f>$I36</f>
        <v>0</v>
      </c>
      <c r="AU5" s="35">
        <f>$K36</f>
        <v>0</v>
      </c>
      <c r="AV5" s="35">
        <f>$F38</f>
        <v>0</v>
      </c>
      <c r="AW5" s="35">
        <f>$I38</f>
        <v>0</v>
      </c>
      <c r="AX5" s="35">
        <f>$K38</f>
        <v>0</v>
      </c>
      <c r="AY5" s="35">
        <f>$F40</f>
        <v>0</v>
      </c>
      <c r="AZ5" s="35">
        <f>$I40</f>
        <v>0</v>
      </c>
      <c r="BA5" s="35">
        <f>$K40</f>
        <v>0</v>
      </c>
    </row>
    <row r="6" spans="2:53" x14ac:dyDescent="0.35">
      <c r="B6" s="340"/>
      <c r="C6" s="7"/>
      <c r="D6" s="8"/>
      <c r="E6" s="8"/>
      <c r="F6" s="8"/>
      <c r="G6" s="8"/>
      <c r="H6" s="8"/>
      <c r="I6" s="8"/>
      <c r="J6" s="8"/>
      <c r="K6" s="8"/>
      <c r="L6" s="9"/>
      <c r="P6" s="342"/>
    </row>
    <row r="7" spans="2:53" x14ac:dyDescent="0.35">
      <c r="B7" s="340"/>
      <c r="C7" s="7"/>
      <c r="D7" s="8" t="s">
        <v>84</v>
      </c>
      <c r="E7" s="8"/>
      <c r="F7" s="8"/>
      <c r="G7" s="8"/>
      <c r="H7" s="8"/>
      <c r="I7" s="8"/>
      <c r="J7" s="8"/>
      <c r="K7" s="8"/>
      <c r="L7" s="9"/>
      <c r="P7" s="342"/>
    </row>
    <row r="8" spans="2:53" x14ac:dyDescent="0.35">
      <c r="B8" s="340"/>
      <c r="C8" s="7"/>
      <c r="D8" s="8" t="s">
        <v>110</v>
      </c>
      <c r="E8" s="8"/>
      <c r="F8" s="8"/>
      <c r="G8" s="8"/>
      <c r="H8" s="8"/>
      <c r="I8" s="8"/>
      <c r="J8" s="8"/>
      <c r="K8" s="8"/>
      <c r="L8" s="9"/>
      <c r="P8" s="342"/>
    </row>
    <row r="9" spans="2:53" x14ac:dyDescent="0.35">
      <c r="B9" s="340"/>
      <c r="C9" s="7"/>
      <c r="D9" s="8"/>
      <c r="E9" s="8"/>
      <c r="F9" s="8"/>
      <c r="G9" s="8"/>
      <c r="H9" s="8"/>
      <c r="I9" s="8"/>
      <c r="J9" s="8"/>
      <c r="K9" s="8"/>
      <c r="L9" s="9"/>
      <c r="P9" s="342"/>
    </row>
    <row r="10" spans="2:53" s="40" customFormat="1" ht="4" customHeight="1" x14ac:dyDescent="0.35">
      <c r="B10" s="343"/>
      <c r="C10" s="36"/>
      <c r="D10" s="344"/>
      <c r="E10" s="37"/>
      <c r="F10" s="37"/>
      <c r="G10" s="37"/>
      <c r="H10" s="37"/>
      <c r="I10" s="37"/>
      <c r="J10" s="37"/>
      <c r="K10" s="37"/>
      <c r="L10" s="39"/>
      <c r="P10" s="345"/>
    </row>
    <row r="11" spans="2:53" s="40" customFormat="1" ht="22" customHeight="1" x14ac:dyDescent="0.35">
      <c r="B11" s="343"/>
      <c r="C11" s="36"/>
      <c r="D11" s="344" t="s">
        <v>87</v>
      </c>
      <c r="E11" s="37" t="s">
        <v>6</v>
      </c>
      <c r="F11" s="38"/>
      <c r="G11" s="38"/>
      <c r="H11" s="38"/>
      <c r="I11" s="38"/>
      <c r="J11" s="38"/>
      <c r="K11" s="38"/>
      <c r="L11" s="39"/>
      <c r="P11" s="345"/>
    </row>
    <row r="12" spans="2:53" s="40" customFormat="1" ht="4" customHeight="1" x14ac:dyDescent="0.35">
      <c r="B12" s="343"/>
      <c r="C12" s="36"/>
      <c r="D12" s="344"/>
      <c r="E12" s="37"/>
      <c r="F12" s="37"/>
      <c r="G12" s="37"/>
      <c r="H12" s="37"/>
      <c r="I12" s="37"/>
      <c r="J12" s="37"/>
      <c r="K12" s="37"/>
      <c r="L12" s="39"/>
      <c r="P12" s="345"/>
    </row>
    <row r="13" spans="2:53" s="40" customFormat="1" ht="22" customHeight="1" x14ac:dyDescent="0.35">
      <c r="B13" s="343"/>
      <c r="C13" s="36"/>
      <c r="D13" s="344" t="s">
        <v>88</v>
      </c>
      <c r="E13" s="37" t="s">
        <v>6</v>
      </c>
      <c r="F13" s="38"/>
      <c r="G13" s="38"/>
      <c r="H13" s="38"/>
      <c r="I13" s="38"/>
      <c r="J13" s="38"/>
      <c r="K13" s="38"/>
      <c r="L13" s="39"/>
      <c r="P13" s="345"/>
    </row>
    <row r="14" spans="2:53" s="40" customFormat="1" ht="4" customHeight="1" x14ac:dyDescent="0.35">
      <c r="B14" s="343"/>
      <c r="C14" s="36"/>
      <c r="D14" s="344"/>
      <c r="E14" s="37"/>
      <c r="F14" s="37"/>
      <c r="G14" s="37"/>
      <c r="H14" s="37"/>
      <c r="I14" s="37"/>
      <c r="J14" s="37"/>
      <c r="K14" s="37"/>
      <c r="L14" s="39"/>
      <c r="P14" s="345"/>
    </row>
    <row r="15" spans="2:53" s="40" customFormat="1" ht="22" customHeight="1" x14ac:dyDescent="0.35">
      <c r="B15" s="343"/>
      <c r="C15" s="36"/>
      <c r="D15" s="344" t="s">
        <v>89</v>
      </c>
      <c r="E15" s="37" t="s">
        <v>6</v>
      </c>
      <c r="F15" s="38"/>
      <c r="G15" s="38"/>
      <c r="H15" s="38"/>
      <c r="I15" s="38"/>
      <c r="J15" s="38"/>
      <c r="K15" s="38"/>
      <c r="L15" s="39"/>
      <c r="P15" s="345"/>
    </row>
    <row r="16" spans="2:53" s="40" customFormat="1" ht="4" customHeight="1" x14ac:dyDescent="0.35">
      <c r="B16" s="343"/>
      <c r="C16" s="36"/>
      <c r="D16" s="344"/>
      <c r="E16" s="37"/>
      <c r="F16" s="37"/>
      <c r="G16" s="37"/>
      <c r="H16" s="37"/>
      <c r="I16" s="37"/>
      <c r="J16" s="37"/>
      <c r="K16" s="37"/>
      <c r="L16" s="39"/>
      <c r="P16" s="345"/>
    </row>
    <row r="17" spans="2:16" s="40" customFormat="1" ht="22" customHeight="1" x14ac:dyDescent="0.35">
      <c r="B17" s="343"/>
      <c r="C17" s="36"/>
      <c r="D17" s="344" t="s">
        <v>90</v>
      </c>
      <c r="E17" s="37" t="s">
        <v>6</v>
      </c>
      <c r="F17" s="38"/>
      <c r="G17" s="38"/>
      <c r="H17" s="38"/>
      <c r="I17" s="38"/>
      <c r="J17" s="38"/>
      <c r="K17" s="38"/>
      <c r="L17" s="39"/>
      <c r="P17" s="345"/>
    </row>
    <row r="18" spans="2:16" s="40" customFormat="1" ht="4" customHeight="1" x14ac:dyDescent="0.35">
      <c r="B18" s="343"/>
      <c r="C18" s="36"/>
      <c r="D18" s="344"/>
      <c r="E18" s="37"/>
      <c r="F18" s="37"/>
      <c r="G18" s="37"/>
      <c r="H18" s="37"/>
      <c r="I18" s="37"/>
      <c r="J18" s="37"/>
      <c r="K18" s="37"/>
      <c r="L18" s="39"/>
      <c r="P18" s="345"/>
    </row>
    <row r="19" spans="2:16" s="40" customFormat="1" ht="22" customHeight="1" x14ac:dyDescent="0.35">
      <c r="B19" s="343"/>
      <c r="C19" s="36"/>
      <c r="D19" s="344" t="s">
        <v>91</v>
      </c>
      <c r="E19" s="37" t="s">
        <v>6</v>
      </c>
      <c r="F19" s="38"/>
      <c r="G19" s="38"/>
      <c r="H19" s="38"/>
      <c r="I19" s="38"/>
      <c r="J19" s="38" t="s">
        <v>92</v>
      </c>
      <c r="K19" s="38"/>
      <c r="L19" s="39"/>
      <c r="P19" s="345"/>
    </row>
    <row r="20" spans="2:16" s="40" customFormat="1" ht="4" customHeight="1" x14ac:dyDescent="0.35">
      <c r="B20" s="343"/>
      <c r="C20" s="36"/>
      <c r="D20" s="344"/>
      <c r="E20" s="37"/>
      <c r="F20" s="37"/>
      <c r="G20" s="37"/>
      <c r="H20" s="37"/>
      <c r="I20" s="37"/>
      <c r="J20" s="37"/>
      <c r="K20" s="37"/>
      <c r="L20" s="39"/>
      <c r="P20" s="345"/>
    </row>
    <row r="21" spans="2:16" s="40" customFormat="1" ht="22" customHeight="1" x14ac:dyDescent="0.35">
      <c r="B21" s="343"/>
      <c r="C21" s="36"/>
      <c r="D21" s="344" t="s">
        <v>78</v>
      </c>
      <c r="E21" s="37" t="s">
        <v>6</v>
      </c>
      <c r="F21" s="38"/>
      <c r="G21" s="38"/>
      <c r="H21" s="38" t="s">
        <v>93</v>
      </c>
      <c r="I21" s="38"/>
      <c r="J21" s="38" t="s">
        <v>94</v>
      </c>
      <c r="K21" s="38"/>
      <c r="L21" s="39"/>
      <c r="P21" s="345"/>
    </row>
    <row r="22" spans="2:16" s="40" customFormat="1" ht="4" customHeight="1" x14ac:dyDescent="0.35">
      <c r="B22" s="343"/>
      <c r="C22" s="36"/>
      <c r="D22" s="344"/>
      <c r="E22" s="37"/>
      <c r="F22" s="37"/>
      <c r="G22" s="37"/>
      <c r="H22" s="37"/>
      <c r="I22" s="37"/>
      <c r="J22" s="37"/>
      <c r="K22" s="37"/>
      <c r="L22" s="39"/>
      <c r="P22" s="345"/>
    </row>
    <row r="23" spans="2:16" s="40" customFormat="1" ht="22" customHeight="1" x14ac:dyDescent="0.35">
      <c r="B23" s="343"/>
      <c r="C23" s="36"/>
      <c r="D23" s="344" t="s">
        <v>95</v>
      </c>
      <c r="E23" s="37" t="s">
        <v>6</v>
      </c>
      <c r="F23" s="38"/>
      <c r="G23" s="38"/>
      <c r="H23" s="38" t="s">
        <v>93</v>
      </c>
      <c r="I23" s="38"/>
      <c r="J23" s="38" t="s">
        <v>94</v>
      </c>
      <c r="K23" s="38"/>
      <c r="L23" s="39"/>
      <c r="P23" s="345"/>
    </row>
    <row r="24" spans="2:16" s="40" customFormat="1" ht="4" customHeight="1" x14ac:dyDescent="0.35">
      <c r="B24" s="343"/>
      <c r="C24" s="36"/>
      <c r="D24" s="344"/>
      <c r="E24" s="37"/>
      <c r="F24" s="37"/>
      <c r="G24" s="37"/>
      <c r="H24" s="37"/>
      <c r="I24" s="37"/>
      <c r="J24" s="37"/>
      <c r="K24" s="37"/>
      <c r="L24" s="39"/>
      <c r="P24" s="345"/>
    </row>
    <row r="25" spans="2:16" s="40" customFormat="1" ht="22" customHeight="1" x14ac:dyDescent="0.35">
      <c r="B25" s="343"/>
      <c r="C25" s="36"/>
      <c r="D25" s="344" t="s">
        <v>81</v>
      </c>
      <c r="E25" s="37" t="s">
        <v>6</v>
      </c>
      <c r="F25" s="38"/>
      <c r="G25" s="38"/>
      <c r="H25" s="38" t="s">
        <v>93</v>
      </c>
      <c r="I25" s="38"/>
      <c r="J25" s="38" t="s">
        <v>94</v>
      </c>
      <c r="K25" s="38"/>
      <c r="L25" s="39"/>
      <c r="P25" s="345"/>
    </row>
    <row r="26" spans="2:16" s="40" customFormat="1" ht="4" customHeight="1" x14ac:dyDescent="0.35">
      <c r="B26" s="343"/>
      <c r="C26" s="36"/>
      <c r="D26" s="344"/>
      <c r="E26" s="37"/>
      <c r="F26" s="37"/>
      <c r="G26" s="37"/>
      <c r="H26" s="37"/>
      <c r="I26" s="37"/>
      <c r="J26" s="37"/>
      <c r="K26" s="37"/>
      <c r="L26" s="39"/>
      <c r="P26" s="345"/>
    </row>
    <row r="27" spans="2:16" s="40" customFormat="1" ht="22" customHeight="1" x14ac:dyDescent="0.35">
      <c r="B27" s="343"/>
      <c r="C27" s="36"/>
      <c r="D27" s="344" t="s">
        <v>82</v>
      </c>
      <c r="E27" s="37"/>
      <c r="F27" s="346"/>
      <c r="G27" s="37"/>
      <c r="H27" s="37"/>
      <c r="I27" s="37"/>
      <c r="J27" s="37"/>
      <c r="K27" s="37"/>
      <c r="L27" s="39"/>
      <c r="P27" s="345"/>
    </row>
    <row r="28" spans="2:16" s="40" customFormat="1" ht="22" customHeight="1" x14ac:dyDescent="0.35">
      <c r="B28" s="343"/>
      <c r="C28" s="36"/>
      <c r="D28" s="347" t="s">
        <v>96</v>
      </c>
      <c r="E28" s="37" t="s">
        <v>6</v>
      </c>
      <c r="F28" s="38"/>
      <c r="G28" s="38"/>
      <c r="H28" s="38" t="s">
        <v>93</v>
      </c>
      <c r="I28" s="38"/>
      <c r="J28" s="38" t="s">
        <v>94</v>
      </c>
      <c r="K28" s="38"/>
      <c r="L28" s="39"/>
      <c r="P28" s="345"/>
    </row>
    <row r="29" spans="2:16" s="40" customFormat="1" ht="4" customHeight="1" x14ac:dyDescent="0.35">
      <c r="B29" s="343"/>
      <c r="C29" s="36"/>
      <c r="D29" s="348"/>
      <c r="E29" s="37"/>
      <c r="F29" s="346"/>
      <c r="G29" s="37"/>
      <c r="H29" s="37"/>
      <c r="I29" s="37"/>
      <c r="J29" s="37"/>
      <c r="K29" s="37"/>
      <c r="L29" s="39"/>
      <c r="P29" s="345"/>
    </row>
    <row r="30" spans="2:16" s="40" customFormat="1" ht="22" customHeight="1" x14ac:dyDescent="0.35">
      <c r="B30" s="343"/>
      <c r="C30" s="36"/>
      <c r="D30" s="347" t="s">
        <v>97</v>
      </c>
      <c r="E30" s="37" t="s">
        <v>6</v>
      </c>
      <c r="F30" s="38"/>
      <c r="G30" s="38"/>
      <c r="H30" s="38" t="s">
        <v>93</v>
      </c>
      <c r="I30" s="38"/>
      <c r="J30" s="38" t="s">
        <v>94</v>
      </c>
      <c r="K30" s="38"/>
      <c r="L30" s="39"/>
      <c r="P30" s="345"/>
    </row>
    <row r="31" spans="2:16" s="40" customFormat="1" ht="4" customHeight="1" x14ac:dyDescent="0.35">
      <c r="B31" s="343"/>
      <c r="C31" s="36"/>
      <c r="D31" s="349"/>
      <c r="E31" s="37"/>
      <c r="F31" s="346"/>
      <c r="G31" s="37"/>
      <c r="H31" s="37"/>
      <c r="I31" s="37"/>
      <c r="J31" s="37"/>
      <c r="K31" s="37"/>
      <c r="L31" s="39"/>
      <c r="P31" s="345"/>
    </row>
    <row r="32" spans="2:16" s="40" customFormat="1" ht="22" customHeight="1" x14ac:dyDescent="0.35">
      <c r="B32" s="343"/>
      <c r="C32" s="36"/>
      <c r="D32" s="347" t="s">
        <v>98</v>
      </c>
      <c r="E32" s="37" t="s">
        <v>6</v>
      </c>
      <c r="F32" s="38"/>
      <c r="G32" s="38"/>
      <c r="H32" s="38" t="s">
        <v>93</v>
      </c>
      <c r="I32" s="38"/>
      <c r="J32" s="38" t="s">
        <v>94</v>
      </c>
      <c r="K32" s="38"/>
      <c r="L32" s="39"/>
      <c r="P32" s="345"/>
    </row>
    <row r="33" spans="2:16" s="40" customFormat="1" ht="4" customHeight="1" x14ac:dyDescent="0.35">
      <c r="B33" s="343"/>
      <c r="C33" s="36"/>
      <c r="D33" s="349"/>
      <c r="E33" s="37"/>
      <c r="F33" s="346"/>
      <c r="G33" s="37"/>
      <c r="H33" s="37"/>
      <c r="I33" s="37"/>
      <c r="J33" s="37"/>
      <c r="K33" s="37"/>
      <c r="L33" s="39"/>
      <c r="P33" s="345"/>
    </row>
    <row r="34" spans="2:16" s="40" customFormat="1" ht="22" customHeight="1" x14ac:dyDescent="0.35">
      <c r="B34" s="343"/>
      <c r="C34" s="36"/>
      <c r="D34" s="347" t="s">
        <v>99</v>
      </c>
      <c r="E34" s="37" t="s">
        <v>6</v>
      </c>
      <c r="F34" s="38"/>
      <c r="G34" s="38"/>
      <c r="H34" s="38" t="s">
        <v>93</v>
      </c>
      <c r="I34" s="38"/>
      <c r="J34" s="38" t="s">
        <v>94</v>
      </c>
      <c r="K34" s="38"/>
      <c r="L34" s="39"/>
      <c r="P34" s="345"/>
    </row>
    <row r="35" spans="2:16" s="40" customFormat="1" ht="4" customHeight="1" x14ac:dyDescent="0.35">
      <c r="B35" s="343"/>
      <c r="C35" s="36"/>
      <c r="D35" s="349"/>
      <c r="E35" s="37"/>
      <c r="F35" s="346"/>
      <c r="G35" s="37"/>
      <c r="H35" s="37"/>
      <c r="I35" s="37"/>
      <c r="J35" s="37"/>
      <c r="K35" s="37"/>
      <c r="L35" s="39"/>
      <c r="P35" s="345"/>
    </row>
    <row r="36" spans="2:16" s="40" customFormat="1" ht="22" customHeight="1" x14ac:dyDescent="0.35">
      <c r="B36" s="343"/>
      <c r="C36" s="36"/>
      <c r="D36" s="347" t="s">
        <v>100</v>
      </c>
      <c r="E36" s="37" t="s">
        <v>6</v>
      </c>
      <c r="F36" s="38"/>
      <c r="G36" s="38"/>
      <c r="H36" s="38" t="s">
        <v>93</v>
      </c>
      <c r="I36" s="38"/>
      <c r="J36" s="38" t="s">
        <v>94</v>
      </c>
      <c r="K36" s="38"/>
      <c r="L36" s="39"/>
      <c r="P36" s="345"/>
    </row>
    <row r="37" spans="2:16" s="40" customFormat="1" ht="4" customHeight="1" x14ac:dyDescent="0.35">
      <c r="B37" s="343"/>
      <c r="C37" s="36"/>
      <c r="D37" s="349"/>
      <c r="E37" s="37"/>
      <c r="F37" s="346"/>
      <c r="G37" s="37"/>
      <c r="H37" s="37"/>
      <c r="I37" s="37"/>
      <c r="J37" s="37"/>
      <c r="K37" s="37"/>
      <c r="L37" s="39"/>
      <c r="P37" s="345"/>
    </row>
    <row r="38" spans="2:16" s="40" customFormat="1" ht="22" customHeight="1" x14ac:dyDescent="0.35">
      <c r="B38" s="343"/>
      <c r="C38" s="36"/>
      <c r="D38" s="347" t="s">
        <v>101</v>
      </c>
      <c r="E38" s="37" t="s">
        <v>6</v>
      </c>
      <c r="F38" s="38"/>
      <c r="G38" s="38"/>
      <c r="H38" s="38" t="s">
        <v>93</v>
      </c>
      <c r="I38" s="38"/>
      <c r="J38" s="38" t="s">
        <v>94</v>
      </c>
      <c r="K38" s="38"/>
      <c r="L38" s="39"/>
      <c r="P38" s="345"/>
    </row>
    <row r="39" spans="2:16" s="40" customFormat="1" ht="4" customHeight="1" x14ac:dyDescent="0.35">
      <c r="B39" s="343"/>
      <c r="C39" s="36"/>
      <c r="D39" s="349"/>
      <c r="E39" s="37"/>
      <c r="F39" s="346"/>
      <c r="G39" s="37"/>
      <c r="H39" s="37"/>
      <c r="I39" s="37"/>
      <c r="J39" s="37"/>
      <c r="K39" s="37"/>
      <c r="L39" s="39"/>
      <c r="P39" s="345"/>
    </row>
    <row r="40" spans="2:16" s="40" customFormat="1" ht="22" customHeight="1" x14ac:dyDescent="0.35">
      <c r="B40" s="343"/>
      <c r="C40" s="36"/>
      <c r="D40" s="347" t="s">
        <v>102</v>
      </c>
      <c r="E40" s="37" t="s">
        <v>6</v>
      </c>
      <c r="F40" s="38"/>
      <c r="G40" s="38"/>
      <c r="H40" s="38" t="s">
        <v>93</v>
      </c>
      <c r="I40" s="38"/>
      <c r="J40" s="38" t="s">
        <v>94</v>
      </c>
      <c r="K40" s="38"/>
      <c r="L40" s="39"/>
      <c r="P40" s="345"/>
    </row>
    <row r="41" spans="2:16" s="40" customFormat="1" ht="4" customHeight="1" x14ac:dyDescent="0.35">
      <c r="B41" s="343"/>
      <c r="C41" s="36"/>
      <c r="D41" s="37"/>
      <c r="E41" s="37"/>
      <c r="F41" s="346"/>
      <c r="G41" s="37"/>
      <c r="H41" s="37"/>
      <c r="I41" s="37"/>
      <c r="J41" s="37"/>
      <c r="K41" s="37"/>
      <c r="L41" s="39"/>
      <c r="P41" s="345"/>
    </row>
    <row r="42" spans="2:16" s="40" customFormat="1" ht="22" customHeight="1" x14ac:dyDescent="0.35">
      <c r="B42" s="343"/>
      <c r="C42" s="36"/>
      <c r="D42" s="38"/>
      <c r="E42" s="38"/>
      <c r="F42" s="38"/>
      <c r="G42" s="37" t="s">
        <v>103</v>
      </c>
      <c r="H42" s="37"/>
      <c r="I42" s="37"/>
      <c r="J42" s="37"/>
      <c r="K42" s="37"/>
      <c r="L42" s="39"/>
      <c r="P42" s="345"/>
    </row>
    <row r="43" spans="2:16" s="40" customFormat="1" ht="22" customHeight="1" x14ac:dyDescent="0.35">
      <c r="B43" s="343"/>
      <c r="C43" s="36"/>
      <c r="D43" s="37"/>
      <c r="E43" s="37"/>
      <c r="F43" s="37"/>
      <c r="G43" s="37"/>
      <c r="H43" s="37"/>
      <c r="I43" s="37"/>
      <c r="J43" s="37"/>
      <c r="K43" s="37"/>
      <c r="L43" s="39"/>
      <c r="P43" s="345"/>
    </row>
    <row r="44" spans="2:16" s="40" customFormat="1" ht="15" customHeight="1" x14ac:dyDescent="0.35">
      <c r="B44" s="343"/>
      <c r="C44" s="36"/>
      <c r="D44" s="350"/>
      <c r="E44" s="412"/>
      <c r="F44" s="412"/>
      <c r="G44" s="412"/>
      <c r="H44" s="37"/>
      <c r="I44" s="37"/>
      <c r="J44" s="37"/>
      <c r="K44" s="37"/>
      <c r="L44" s="39"/>
      <c r="P44" s="345"/>
    </row>
    <row r="45" spans="2:16" s="40" customFormat="1" ht="22" customHeight="1" x14ac:dyDescent="0.35">
      <c r="B45" s="343"/>
      <c r="C45" s="36"/>
      <c r="D45" s="37"/>
      <c r="E45" s="37"/>
      <c r="F45" s="37"/>
      <c r="G45" s="37"/>
      <c r="H45" s="37"/>
      <c r="I45" s="37"/>
      <c r="J45" s="37"/>
      <c r="K45" s="37"/>
      <c r="L45" s="39"/>
      <c r="P45" s="345"/>
    </row>
    <row r="46" spans="2:16" x14ac:dyDescent="0.35">
      <c r="B46" s="340"/>
      <c r="C46" s="7"/>
      <c r="D46" s="8"/>
      <c r="E46" s="8"/>
      <c r="F46" s="8"/>
      <c r="G46" s="8"/>
      <c r="H46" s="8"/>
      <c r="I46" s="8"/>
      <c r="J46" s="8"/>
      <c r="K46" s="8"/>
      <c r="L46" s="9"/>
      <c r="P46" s="342"/>
    </row>
    <row r="47" spans="2:16" x14ac:dyDescent="0.35">
      <c r="B47" s="340"/>
      <c r="C47" s="7"/>
      <c r="D47" s="8"/>
      <c r="E47" s="8"/>
      <c r="F47" s="8"/>
      <c r="G47" s="8"/>
      <c r="H47" s="8"/>
      <c r="I47" s="8"/>
      <c r="J47" s="8"/>
      <c r="K47" s="8"/>
      <c r="L47" s="9"/>
      <c r="P47" s="342"/>
    </row>
    <row r="48" spans="2:16" s="40" customFormat="1" ht="15" customHeight="1" x14ac:dyDescent="0.35">
      <c r="B48" s="343"/>
      <c r="C48" s="36"/>
      <c r="D48" s="350"/>
      <c r="E48" s="412"/>
      <c r="F48" s="412"/>
      <c r="G48" s="412"/>
      <c r="H48" s="37"/>
      <c r="I48" s="37"/>
      <c r="J48" s="37"/>
      <c r="K48" s="37"/>
      <c r="L48" s="39"/>
      <c r="P48" s="345"/>
    </row>
    <row r="49" spans="2:16" x14ac:dyDescent="0.35">
      <c r="B49" s="340"/>
      <c r="C49" s="10"/>
      <c r="D49" s="11"/>
      <c r="E49" s="11"/>
      <c r="F49" s="11"/>
      <c r="G49" s="11"/>
      <c r="H49" s="11"/>
      <c r="I49" s="11"/>
      <c r="J49" s="11"/>
      <c r="K49" s="11"/>
      <c r="L49" s="12"/>
      <c r="P49" s="342"/>
    </row>
    <row r="50" spans="2:16" x14ac:dyDescent="0.35">
      <c r="B50" s="340"/>
      <c r="P50" s="342"/>
    </row>
    <row r="51" spans="2:16" x14ac:dyDescent="0.35">
      <c r="B51" s="340"/>
      <c r="P51" s="342"/>
    </row>
    <row r="52" spans="2:16" x14ac:dyDescent="0.35">
      <c r="B52" s="340"/>
      <c r="P52" s="342"/>
    </row>
    <row r="53" spans="2:16" x14ac:dyDescent="0.35">
      <c r="B53" s="340"/>
      <c r="P53" s="342"/>
    </row>
    <row r="54" spans="2:16" x14ac:dyDescent="0.35">
      <c r="B54" s="340"/>
      <c r="P54" s="342"/>
    </row>
    <row r="55" spans="2:16" x14ac:dyDescent="0.35">
      <c r="B55" s="340"/>
      <c r="P55" s="342"/>
    </row>
    <row r="56" spans="2:16" x14ac:dyDescent="0.35">
      <c r="B56" s="340"/>
      <c r="P56" s="342"/>
    </row>
    <row r="57" spans="2:16" x14ac:dyDescent="0.35">
      <c r="B57" s="340"/>
      <c r="P57" s="342"/>
    </row>
    <row r="58" spans="2:16" x14ac:dyDescent="0.35">
      <c r="B58" s="340"/>
      <c r="P58" s="342"/>
    </row>
    <row r="59" spans="2:16" x14ac:dyDescent="0.35">
      <c r="B59" s="340"/>
      <c r="P59" s="342"/>
    </row>
    <row r="60" spans="2:16" x14ac:dyDescent="0.35">
      <c r="B60" s="340"/>
      <c r="P60" s="342"/>
    </row>
    <row r="61" spans="2:16" x14ac:dyDescent="0.35">
      <c r="B61" s="340"/>
      <c r="P61" s="342"/>
    </row>
    <row r="62" spans="2:16" x14ac:dyDescent="0.35">
      <c r="B62" s="340"/>
      <c r="P62" s="342"/>
    </row>
    <row r="63" spans="2:16" x14ac:dyDescent="0.35">
      <c r="B63" s="340"/>
      <c r="P63" s="342"/>
    </row>
    <row r="64" spans="2:16" x14ac:dyDescent="0.35">
      <c r="B64" s="340"/>
      <c r="P64" s="342"/>
    </row>
    <row r="65" spans="2:16" x14ac:dyDescent="0.35">
      <c r="B65" s="340"/>
      <c r="P65" s="342"/>
    </row>
    <row r="66" spans="2:16" x14ac:dyDescent="0.35">
      <c r="B66" s="351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3"/>
    </row>
  </sheetData>
  <mergeCells count="20">
    <mergeCell ref="AV3:AX3"/>
    <mergeCell ref="AY3:BA3"/>
    <mergeCell ref="F4:L4"/>
    <mergeCell ref="U3:W3"/>
    <mergeCell ref="X3:Z3"/>
    <mergeCell ref="AA3:AC3"/>
    <mergeCell ref="AD3:AF3"/>
    <mergeCell ref="AG3:AI3"/>
    <mergeCell ref="AJ3:AL3"/>
    <mergeCell ref="O3:O4"/>
    <mergeCell ref="P3:P4"/>
    <mergeCell ref="Q3:Q4"/>
    <mergeCell ref="R3:R4"/>
    <mergeCell ref="S3:S4"/>
    <mergeCell ref="T3:T4"/>
    <mergeCell ref="E44:G44"/>
    <mergeCell ref="E48:G48"/>
    <mergeCell ref="AM3:AO3"/>
    <mergeCell ref="AP3:AR3"/>
    <mergeCell ref="AS3:AU3"/>
  </mergeCells>
  <pageMargins left="0.7" right="0.75" top="0.75" bottom="0.75" header="0.3" footer="0.3"/>
  <pageSetup paperSize="9" orientation="portrait" r:id="rId1"/>
  <headerFooter>
    <oddFooter>&amp;R&amp;"Palatino Linotype,Italic"&amp;10Management Improvement 2012</oddFooter>
  </headerFooter>
  <ignoredErrors>
    <ignoredError sqref="D28:D40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E26E-464A-4901-BD2F-48FF32AE47D1}">
  <dimension ref="B2:BA66"/>
  <sheetViews>
    <sheetView showGridLines="0" topLeftCell="A12" workbookViewId="0">
      <selection activeCell="K17" sqref="K17"/>
    </sheetView>
  </sheetViews>
  <sheetFormatPr defaultRowHeight="14.5" x14ac:dyDescent="0.35"/>
  <cols>
    <col min="3" max="3" width="1.81640625" customWidth="1"/>
    <col min="4" max="4" width="25.1796875" customWidth="1"/>
    <col min="5" max="5" width="1.81640625" customWidth="1"/>
    <col min="12" max="13" width="9.1796875" customWidth="1"/>
    <col min="14" max="15" width="0" hidden="1" customWidth="1"/>
    <col min="16" max="17" width="12" hidden="1" customWidth="1"/>
    <col min="18" max="18" width="10.1796875" hidden="1" customWidth="1"/>
    <col min="19" max="19" width="9.81640625" hidden="1" customWidth="1"/>
    <col min="20" max="20" width="37.81640625" hidden="1" customWidth="1"/>
    <col min="21" max="54" width="0" hidden="1" customWidth="1"/>
  </cols>
  <sheetData>
    <row r="2" spans="2:53" x14ac:dyDescent="0.35">
      <c r="B2" s="337"/>
      <c r="C2" s="1"/>
      <c r="D2" s="2"/>
      <c r="E2" s="2"/>
      <c r="F2" s="2"/>
      <c r="G2" s="2"/>
      <c r="H2" s="2"/>
      <c r="I2" s="2"/>
      <c r="J2" s="2"/>
      <c r="K2" s="2"/>
      <c r="L2" s="3"/>
      <c r="M2" s="338"/>
      <c r="N2" s="338"/>
      <c r="O2" s="338"/>
      <c r="P2" s="339"/>
    </row>
    <row r="3" spans="2:53" x14ac:dyDescent="0.35">
      <c r="B3" s="340"/>
      <c r="C3" s="7"/>
      <c r="D3" s="8"/>
      <c r="E3" s="8"/>
      <c r="F3" s="8"/>
      <c r="G3" s="8"/>
      <c r="H3" s="8"/>
      <c r="I3" s="8"/>
      <c r="J3" s="8"/>
      <c r="K3" s="8"/>
      <c r="L3" s="9"/>
      <c r="O3" s="416" t="s">
        <v>0</v>
      </c>
      <c r="P3" s="417" t="s">
        <v>73</v>
      </c>
      <c r="Q3" s="419" t="s">
        <v>74</v>
      </c>
      <c r="R3" s="419" t="s">
        <v>75</v>
      </c>
      <c r="S3" s="419" t="s">
        <v>76</v>
      </c>
      <c r="T3" s="419" t="s">
        <v>77</v>
      </c>
      <c r="U3" s="413" t="s">
        <v>78</v>
      </c>
      <c r="V3" s="413"/>
      <c r="W3" s="413"/>
      <c r="X3" s="413" t="s">
        <v>79</v>
      </c>
      <c r="Y3" s="413"/>
      <c r="Z3" s="413"/>
      <c r="AA3" s="413" t="s">
        <v>80</v>
      </c>
      <c r="AB3" s="413"/>
      <c r="AC3" s="413"/>
      <c r="AD3" s="413" t="s">
        <v>81</v>
      </c>
      <c r="AE3" s="413"/>
      <c r="AF3" s="413"/>
      <c r="AG3" s="413" t="s">
        <v>82</v>
      </c>
      <c r="AH3" s="413"/>
      <c r="AI3" s="413"/>
      <c r="AJ3" s="413" t="s">
        <v>82</v>
      </c>
      <c r="AK3" s="413"/>
      <c r="AL3" s="413"/>
      <c r="AM3" s="413" t="s">
        <v>82</v>
      </c>
      <c r="AN3" s="413"/>
      <c r="AO3" s="413"/>
      <c r="AP3" s="413" t="s">
        <v>82</v>
      </c>
      <c r="AQ3" s="413"/>
      <c r="AR3" s="413"/>
      <c r="AS3" s="413" t="s">
        <v>82</v>
      </c>
      <c r="AT3" s="413"/>
      <c r="AU3" s="413"/>
      <c r="AV3" s="413" t="s">
        <v>82</v>
      </c>
      <c r="AW3" s="413"/>
      <c r="AX3" s="413"/>
      <c r="AY3" s="413" t="s">
        <v>82</v>
      </c>
      <c r="AZ3" s="413"/>
      <c r="BA3" s="413"/>
    </row>
    <row r="4" spans="2:53" ht="19" x14ac:dyDescent="0.4">
      <c r="B4" s="340"/>
      <c r="C4" s="7"/>
      <c r="D4" s="8"/>
      <c r="E4" s="8"/>
      <c r="F4" s="414" t="s">
        <v>108</v>
      </c>
      <c r="G4" s="414"/>
      <c r="H4" s="414"/>
      <c r="I4" s="414"/>
      <c r="J4" s="414"/>
      <c r="K4" s="414"/>
      <c r="L4" s="415"/>
      <c r="M4" s="341"/>
      <c r="O4" s="416"/>
      <c r="P4" s="418"/>
      <c r="Q4" s="420"/>
      <c r="R4" s="420"/>
      <c r="S4" s="420"/>
      <c r="T4" s="420"/>
      <c r="U4" s="35" t="s">
        <v>26</v>
      </c>
      <c r="V4" s="35" t="s">
        <v>29</v>
      </c>
      <c r="W4" s="35" t="s">
        <v>27</v>
      </c>
      <c r="X4" s="35" t="s">
        <v>26</v>
      </c>
      <c r="Y4" s="35" t="s">
        <v>29</v>
      </c>
      <c r="Z4" s="35" t="s">
        <v>27</v>
      </c>
      <c r="AA4" s="35" t="s">
        <v>26</v>
      </c>
      <c r="AB4" s="35" t="s">
        <v>29</v>
      </c>
      <c r="AC4" s="35" t="s">
        <v>27</v>
      </c>
      <c r="AD4" s="35" t="s">
        <v>83</v>
      </c>
      <c r="AE4" s="35" t="s">
        <v>29</v>
      </c>
      <c r="AF4" s="35" t="s">
        <v>27</v>
      </c>
      <c r="AG4" s="35" t="s">
        <v>26</v>
      </c>
      <c r="AH4" s="35" t="s">
        <v>29</v>
      </c>
      <c r="AI4" s="35" t="s">
        <v>27</v>
      </c>
      <c r="AJ4" s="35" t="s">
        <v>26</v>
      </c>
      <c r="AK4" s="35" t="s">
        <v>29</v>
      </c>
      <c r="AL4" s="35" t="s">
        <v>27</v>
      </c>
      <c r="AM4" s="35" t="s">
        <v>26</v>
      </c>
      <c r="AN4" s="35" t="s">
        <v>29</v>
      </c>
      <c r="AO4" s="35" t="s">
        <v>27</v>
      </c>
      <c r="AP4" s="35" t="s">
        <v>26</v>
      </c>
      <c r="AQ4" s="35" t="s">
        <v>29</v>
      </c>
      <c r="AR4" s="35" t="s">
        <v>27</v>
      </c>
      <c r="AS4" s="35" t="s">
        <v>26</v>
      </c>
      <c r="AT4" s="35" t="s">
        <v>29</v>
      </c>
      <c r="AU4" s="35" t="s">
        <v>27</v>
      </c>
      <c r="AV4" s="35" t="s">
        <v>26</v>
      </c>
      <c r="AW4" s="35" t="s">
        <v>29</v>
      </c>
      <c r="AX4" s="35" t="s">
        <v>27</v>
      </c>
      <c r="AY4" s="35" t="s">
        <v>26</v>
      </c>
      <c r="AZ4" s="35" t="s">
        <v>29</v>
      </c>
      <c r="BA4" s="35" t="s">
        <v>27</v>
      </c>
    </row>
    <row r="5" spans="2:53" x14ac:dyDescent="0.35">
      <c r="B5" s="340"/>
      <c r="C5" s="7"/>
      <c r="D5" s="8"/>
      <c r="E5" s="8"/>
      <c r="F5" s="8"/>
      <c r="G5" s="8"/>
      <c r="H5" s="8"/>
      <c r="I5" s="8"/>
      <c r="J5" s="8"/>
      <c r="K5" s="8"/>
      <c r="L5" s="9"/>
      <c r="O5" s="35">
        <f>F11</f>
        <v>0</v>
      </c>
      <c r="P5" s="35">
        <f>F13</f>
        <v>0</v>
      </c>
      <c r="Q5" s="35" t="e">
        <f>#REF!</f>
        <v>#REF!</v>
      </c>
      <c r="R5" s="35">
        <f>F15</f>
        <v>0</v>
      </c>
      <c r="S5" s="35">
        <f>K19</f>
        <v>0</v>
      </c>
      <c r="T5" s="35">
        <f>F19</f>
        <v>0</v>
      </c>
      <c r="U5" s="35">
        <f>F21</f>
        <v>0</v>
      </c>
      <c r="V5" s="35">
        <f>I21</f>
        <v>0</v>
      </c>
      <c r="W5" s="35">
        <f>K21</f>
        <v>0</v>
      </c>
      <c r="X5" s="35">
        <f>F23</f>
        <v>0</v>
      </c>
      <c r="Y5" s="35">
        <f>I23</f>
        <v>0</v>
      </c>
      <c r="Z5" s="35">
        <f>K23</f>
        <v>0</v>
      </c>
      <c r="AA5" s="35" t="e">
        <f>#REF!</f>
        <v>#REF!</v>
      </c>
      <c r="AB5" s="35" t="e">
        <f>#REF!</f>
        <v>#REF!</v>
      </c>
      <c r="AC5" s="35" t="e">
        <f>#REF!</f>
        <v>#REF!</v>
      </c>
      <c r="AD5" s="35">
        <f>F25</f>
        <v>0</v>
      </c>
      <c r="AE5" s="35">
        <f>I25</f>
        <v>0</v>
      </c>
      <c r="AF5" s="35">
        <f>K25</f>
        <v>0</v>
      </c>
      <c r="AG5" s="35">
        <f>$F28</f>
        <v>0</v>
      </c>
      <c r="AH5" s="35">
        <f>$I28</f>
        <v>0</v>
      </c>
      <c r="AI5" s="35">
        <f>$K28</f>
        <v>0</v>
      </c>
      <c r="AJ5" s="35">
        <f>$F30</f>
        <v>0</v>
      </c>
      <c r="AK5" s="35">
        <f>$I30</f>
        <v>0</v>
      </c>
      <c r="AL5" s="35">
        <f>$K30</f>
        <v>0</v>
      </c>
      <c r="AM5" s="35">
        <f>$F32</f>
        <v>0</v>
      </c>
      <c r="AN5" s="35">
        <f>$I32</f>
        <v>0</v>
      </c>
      <c r="AO5" s="35">
        <f>$K32</f>
        <v>0</v>
      </c>
      <c r="AP5" s="35">
        <f>$F34</f>
        <v>0</v>
      </c>
      <c r="AQ5" s="35">
        <f>$I34</f>
        <v>0</v>
      </c>
      <c r="AR5" s="35">
        <f>$K34</f>
        <v>0</v>
      </c>
      <c r="AS5" s="35">
        <f>$F36</f>
        <v>0</v>
      </c>
      <c r="AT5" s="35">
        <f>$I36</f>
        <v>0</v>
      </c>
      <c r="AU5" s="35">
        <f>$K36</f>
        <v>0</v>
      </c>
      <c r="AV5" s="35">
        <f>$F38</f>
        <v>0</v>
      </c>
      <c r="AW5" s="35">
        <f>$I38</f>
        <v>0</v>
      </c>
      <c r="AX5" s="35">
        <f>$K38</f>
        <v>0</v>
      </c>
      <c r="AY5" s="35">
        <f>$F40</f>
        <v>0</v>
      </c>
      <c r="AZ5" s="35">
        <f>$I40</f>
        <v>0</v>
      </c>
      <c r="BA5" s="35">
        <f>$K40</f>
        <v>0</v>
      </c>
    </row>
    <row r="6" spans="2:53" x14ac:dyDescent="0.35">
      <c r="B6" s="340"/>
      <c r="C6" s="7"/>
      <c r="D6" s="8"/>
      <c r="E6" s="8"/>
      <c r="F6" s="8"/>
      <c r="G6" s="8"/>
      <c r="H6" s="8"/>
      <c r="I6" s="8"/>
      <c r="J6" s="8"/>
      <c r="K6" s="8"/>
      <c r="L6" s="9"/>
      <c r="P6" s="342"/>
    </row>
    <row r="7" spans="2:53" x14ac:dyDescent="0.35">
      <c r="B7" s="340"/>
      <c r="C7" s="7"/>
      <c r="D7" s="8" t="s">
        <v>84</v>
      </c>
      <c r="E7" s="8"/>
      <c r="F7" s="8"/>
      <c r="G7" s="8"/>
      <c r="H7" s="8"/>
      <c r="I7" s="8"/>
      <c r="J7" s="8"/>
      <c r="K7" s="8"/>
      <c r="L7" s="9"/>
      <c r="P7" s="342"/>
    </row>
    <row r="8" spans="2:53" x14ac:dyDescent="0.35">
      <c r="B8" s="340"/>
      <c r="C8" s="7"/>
      <c r="D8" s="8" t="s">
        <v>109</v>
      </c>
      <c r="E8" s="8"/>
      <c r="F8" s="8"/>
      <c r="G8" s="8"/>
      <c r="H8" s="8"/>
      <c r="I8" s="8"/>
      <c r="J8" s="8"/>
      <c r="K8" s="8"/>
      <c r="L8" s="9"/>
      <c r="P8" s="342"/>
    </row>
    <row r="9" spans="2:53" x14ac:dyDescent="0.35">
      <c r="B9" s="340"/>
      <c r="C9" s="7"/>
      <c r="D9" s="8"/>
      <c r="E9" s="8"/>
      <c r="F9" s="8"/>
      <c r="G9" s="8"/>
      <c r="H9" s="8"/>
      <c r="I9" s="8"/>
      <c r="J9" s="8"/>
      <c r="K9" s="8"/>
      <c r="L9" s="9"/>
      <c r="P9" s="342"/>
    </row>
    <row r="10" spans="2:53" s="40" customFormat="1" ht="4" customHeight="1" x14ac:dyDescent="0.35">
      <c r="B10" s="343"/>
      <c r="C10" s="36"/>
      <c r="D10" s="344"/>
      <c r="E10" s="37"/>
      <c r="F10" s="37"/>
      <c r="G10" s="37"/>
      <c r="H10" s="37"/>
      <c r="I10" s="37"/>
      <c r="J10" s="37"/>
      <c r="K10" s="37"/>
      <c r="L10" s="39"/>
      <c r="P10" s="345"/>
    </row>
    <row r="11" spans="2:53" s="40" customFormat="1" ht="22" customHeight="1" x14ac:dyDescent="0.35">
      <c r="B11" s="343"/>
      <c r="C11" s="36"/>
      <c r="D11" s="344" t="s">
        <v>87</v>
      </c>
      <c r="E11" s="37" t="s">
        <v>6</v>
      </c>
      <c r="F11" s="38"/>
      <c r="G11" s="38"/>
      <c r="H11" s="38"/>
      <c r="I11" s="38"/>
      <c r="J11" s="38"/>
      <c r="K11" s="38"/>
      <c r="L11" s="39"/>
      <c r="P11" s="345"/>
    </row>
    <row r="12" spans="2:53" s="40" customFormat="1" ht="4" customHeight="1" x14ac:dyDescent="0.35">
      <c r="B12" s="343"/>
      <c r="C12" s="36"/>
      <c r="D12" s="344"/>
      <c r="E12" s="37"/>
      <c r="F12" s="37"/>
      <c r="G12" s="37"/>
      <c r="H12" s="37"/>
      <c r="I12" s="37"/>
      <c r="J12" s="37"/>
      <c r="K12" s="37"/>
      <c r="L12" s="39"/>
      <c r="P12" s="345"/>
    </row>
    <row r="13" spans="2:53" s="40" customFormat="1" ht="22" customHeight="1" x14ac:dyDescent="0.35">
      <c r="B13" s="343"/>
      <c r="C13" s="36"/>
      <c r="D13" s="344" t="s">
        <v>88</v>
      </c>
      <c r="E13" s="37" t="s">
        <v>6</v>
      </c>
      <c r="F13" s="38"/>
      <c r="G13" s="38"/>
      <c r="H13" s="38"/>
      <c r="I13" s="38"/>
      <c r="J13" s="38"/>
      <c r="K13" s="38"/>
      <c r="L13" s="39"/>
      <c r="P13" s="345"/>
    </row>
    <row r="14" spans="2:53" s="40" customFormat="1" ht="4" customHeight="1" x14ac:dyDescent="0.35">
      <c r="B14" s="343"/>
      <c r="C14" s="36"/>
      <c r="D14" s="344"/>
      <c r="E14" s="37"/>
      <c r="F14" s="37"/>
      <c r="G14" s="37"/>
      <c r="H14" s="37"/>
      <c r="I14" s="37"/>
      <c r="J14" s="37"/>
      <c r="K14" s="37"/>
      <c r="L14" s="39"/>
      <c r="P14" s="345"/>
    </row>
    <row r="15" spans="2:53" s="40" customFormat="1" ht="22" customHeight="1" x14ac:dyDescent="0.35">
      <c r="B15" s="343"/>
      <c r="C15" s="36"/>
      <c r="D15" s="344" t="s">
        <v>89</v>
      </c>
      <c r="E15" s="37" t="s">
        <v>6</v>
      </c>
      <c r="F15" s="38"/>
      <c r="G15" s="38"/>
      <c r="H15" s="38"/>
      <c r="I15" s="38"/>
      <c r="J15" s="38"/>
      <c r="K15" s="38"/>
      <c r="L15" s="39"/>
      <c r="P15" s="345"/>
    </row>
    <row r="16" spans="2:53" s="40" customFormat="1" ht="4" customHeight="1" x14ac:dyDescent="0.35">
      <c r="B16" s="343"/>
      <c r="C16" s="36"/>
      <c r="D16" s="344"/>
      <c r="E16" s="37"/>
      <c r="F16" s="37"/>
      <c r="G16" s="37"/>
      <c r="H16" s="37"/>
      <c r="I16" s="37"/>
      <c r="J16" s="37"/>
      <c r="K16" s="37"/>
      <c r="L16" s="39"/>
      <c r="P16" s="345"/>
    </row>
    <row r="17" spans="2:16" s="40" customFormat="1" ht="22" customHeight="1" x14ac:dyDescent="0.35">
      <c r="B17" s="343"/>
      <c r="C17" s="36"/>
      <c r="D17" s="344" t="s">
        <v>90</v>
      </c>
      <c r="E17" s="37" t="s">
        <v>6</v>
      </c>
      <c r="F17" s="38"/>
      <c r="G17" s="38"/>
      <c r="H17" s="38"/>
      <c r="I17" s="38"/>
      <c r="J17" s="38"/>
      <c r="K17" s="38"/>
      <c r="L17" s="39"/>
      <c r="P17" s="345"/>
    </row>
    <row r="18" spans="2:16" s="40" customFormat="1" ht="4" customHeight="1" x14ac:dyDescent="0.35">
      <c r="B18" s="343"/>
      <c r="C18" s="36"/>
      <c r="D18" s="344"/>
      <c r="E18" s="37"/>
      <c r="F18" s="37"/>
      <c r="G18" s="37"/>
      <c r="H18" s="37"/>
      <c r="I18" s="37"/>
      <c r="J18" s="37"/>
      <c r="K18" s="37"/>
      <c r="L18" s="39"/>
      <c r="P18" s="345"/>
    </row>
    <row r="19" spans="2:16" s="40" customFormat="1" ht="22" customHeight="1" x14ac:dyDescent="0.35">
      <c r="B19" s="343"/>
      <c r="C19" s="36"/>
      <c r="D19" s="344" t="s">
        <v>91</v>
      </c>
      <c r="E19" s="37" t="s">
        <v>6</v>
      </c>
      <c r="F19" s="38"/>
      <c r="G19" s="38"/>
      <c r="H19" s="38"/>
      <c r="I19" s="38"/>
      <c r="J19" s="38" t="s">
        <v>92</v>
      </c>
      <c r="K19" s="38"/>
      <c r="L19" s="39"/>
      <c r="P19" s="345"/>
    </row>
    <row r="20" spans="2:16" s="40" customFormat="1" ht="4" customHeight="1" x14ac:dyDescent="0.35">
      <c r="B20" s="343"/>
      <c r="C20" s="36"/>
      <c r="D20" s="344"/>
      <c r="E20" s="37"/>
      <c r="F20" s="37"/>
      <c r="G20" s="37"/>
      <c r="H20" s="37"/>
      <c r="I20" s="37"/>
      <c r="J20" s="37"/>
      <c r="K20" s="37"/>
      <c r="L20" s="39"/>
      <c r="P20" s="345"/>
    </row>
    <row r="21" spans="2:16" s="40" customFormat="1" ht="22" customHeight="1" x14ac:dyDescent="0.35">
      <c r="B21" s="343"/>
      <c r="C21" s="36"/>
      <c r="D21" s="344" t="s">
        <v>78</v>
      </c>
      <c r="E21" s="37" t="s">
        <v>6</v>
      </c>
      <c r="F21" s="38"/>
      <c r="G21" s="38"/>
      <c r="H21" s="38" t="s">
        <v>93</v>
      </c>
      <c r="I21" s="38"/>
      <c r="J21" s="38" t="s">
        <v>94</v>
      </c>
      <c r="K21" s="38"/>
      <c r="L21" s="39"/>
      <c r="P21" s="345"/>
    </row>
    <row r="22" spans="2:16" s="40" customFormat="1" ht="4" customHeight="1" x14ac:dyDescent="0.35">
      <c r="B22" s="343"/>
      <c r="C22" s="36"/>
      <c r="D22" s="344"/>
      <c r="E22" s="37"/>
      <c r="F22" s="37"/>
      <c r="G22" s="37"/>
      <c r="H22" s="37"/>
      <c r="I22" s="37"/>
      <c r="J22" s="37"/>
      <c r="K22" s="37"/>
      <c r="L22" s="39"/>
      <c r="P22" s="345"/>
    </row>
    <row r="23" spans="2:16" s="40" customFormat="1" ht="22" customHeight="1" x14ac:dyDescent="0.35">
      <c r="B23" s="343"/>
      <c r="C23" s="36"/>
      <c r="D23" s="344" t="s">
        <v>95</v>
      </c>
      <c r="E23" s="37" t="s">
        <v>6</v>
      </c>
      <c r="F23" s="38"/>
      <c r="G23" s="38"/>
      <c r="H23" s="38" t="s">
        <v>93</v>
      </c>
      <c r="I23" s="38"/>
      <c r="J23" s="38" t="s">
        <v>94</v>
      </c>
      <c r="K23" s="38"/>
      <c r="L23" s="39"/>
      <c r="P23" s="345"/>
    </row>
    <row r="24" spans="2:16" s="40" customFormat="1" ht="4" customHeight="1" x14ac:dyDescent="0.35">
      <c r="B24" s="343"/>
      <c r="C24" s="36"/>
      <c r="D24" s="344"/>
      <c r="E24" s="37"/>
      <c r="F24" s="37"/>
      <c r="G24" s="37"/>
      <c r="H24" s="37"/>
      <c r="I24" s="37"/>
      <c r="J24" s="37"/>
      <c r="K24" s="37"/>
      <c r="L24" s="39"/>
      <c r="P24" s="345"/>
    </row>
    <row r="25" spans="2:16" s="40" customFormat="1" ht="22" customHeight="1" x14ac:dyDescent="0.35">
      <c r="B25" s="343"/>
      <c r="C25" s="36"/>
      <c r="D25" s="344" t="s">
        <v>81</v>
      </c>
      <c r="E25" s="37" t="s">
        <v>6</v>
      </c>
      <c r="F25" s="38"/>
      <c r="G25" s="38"/>
      <c r="H25" s="38" t="s">
        <v>93</v>
      </c>
      <c r="I25" s="38"/>
      <c r="J25" s="38" t="s">
        <v>94</v>
      </c>
      <c r="K25" s="38"/>
      <c r="L25" s="39"/>
      <c r="P25" s="345"/>
    </row>
    <row r="26" spans="2:16" s="40" customFormat="1" ht="4" customHeight="1" x14ac:dyDescent="0.35">
      <c r="B26" s="343"/>
      <c r="C26" s="36"/>
      <c r="D26" s="344"/>
      <c r="E26" s="37"/>
      <c r="F26" s="37"/>
      <c r="G26" s="37"/>
      <c r="H26" s="37"/>
      <c r="I26" s="37"/>
      <c r="J26" s="37"/>
      <c r="K26" s="37"/>
      <c r="L26" s="39"/>
      <c r="P26" s="345"/>
    </row>
    <row r="27" spans="2:16" s="40" customFormat="1" ht="22" customHeight="1" x14ac:dyDescent="0.35">
      <c r="B27" s="343"/>
      <c r="C27" s="36"/>
      <c r="D27" s="344" t="s">
        <v>82</v>
      </c>
      <c r="E27" s="37"/>
      <c r="F27" s="346"/>
      <c r="G27" s="37"/>
      <c r="H27" s="37"/>
      <c r="I27" s="37"/>
      <c r="J27" s="37"/>
      <c r="K27" s="37"/>
      <c r="L27" s="39"/>
      <c r="P27" s="345"/>
    </row>
    <row r="28" spans="2:16" s="40" customFormat="1" ht="22" customHeight="1" x14ac:dyDescent="0.35">
      <c r="B28" s="343"/>
      <c r="C28" s="36"/>
      <c r="D28" s="347" t="s">
        <v>96</v>
      </c>
      <c r="E28" s="37" t="s">
        <v>6</v>
      </c>
      <c r="F28" s="38"/>
      <c r="G28" s="38"/>
      <c r="H28" s="38" t="s">
        <v>93</v>
      </c>
      <c r="I28" s="38"/>
      <c r="J28" s="38" t="s">
        <v>94</v>
      </c>
      <c r="K28" s="38"/>
      <c r="L28" s="39"/>
      <c r="P28" s="345"/>
    </row>
    <row r="29" spans="2:16" s="40" customFormat="1" ht="4" customHeight="1" x14ac:dyDescent="0.35">
      <c r="B29" s="343"/>
      <c r="C29" s="36"/>
      <c r="D29" s="348"/>
      <c r="E29" s="37"/>
      <c r="F29" s="346"/>
      <c r="G29" s="37"/>
      <c r="H29" s="37"/>
      <c r="I29" s="37"/>
      <c r="J29" s="37"/>
      <c r="K29" s="37"/>
      <c r="L29" s="39"/>
      <c r="P29" s="345"/>
    </row>
    <row r="30" spans="2:16" s="40" customFormat="1" ht="22" customHeight="1" x14ac:dyDescent="0.35">
      <c r="B30" s="343"/>
      <c r="C30" s="36"/>
      <c r="D30" s="347" t="s">
        <v>97</v>
      </c>
      <c r="E30" s="37" t="s">
        <v>6</v>
      </c>
      <c r="F30" s="38"/>
      <c r="G30" s="38"/>
      <c r="H30" s="38" t="s">
        <v>93</v>
      </c>
      <c r="I30" s="38"/>
      <c r="J30" s="38" t="s">
        <v>94</v>
      </c>
      <c r="K30" s="38"/>
      <c r="L30" s="39"/>
      <c r="P30" s="345"/>
    </row>
    <row r="31" spans="2:16" s="40" customFormat="1" ht="4" customHeight="1" x14ac:dyDescent="0.35">
      <c r="B31" s="343"/>
      <c r="C31" s="36"/>
      <c r="D31" s="349"/>
      <c r="E31" s="37"/>
      <c r="F31" s="346"/>
      <c r="G31" s="37"/>
      <c r="H31" s="37"/>
      <c r="I31" s="37"/>
      <c r="J31" s="37"/>
      <c r="K31" s="37"/>
      <c r="L31" s="39"/>
      <c r="P31" s="345"/>
    </row>
    <row r="32" spans="2:16" s="40" customFormat="1" ht="22" customHeight="1" x14ac:dyDescent="0.35">
      <c r="B32" s="343"/>
      <c r="C32" s="36"/>
      <c r="D32" s="347" t="s">
        <v>98</v>
      </c>
      <c r="E32" s="37" t="s">
        <v>6</v>
      </c>
      <c r="F32" s="38"/>
      <c r="G32" s="38"/>
      <c r="H32" s="38" t="s">
        <v>93</v>
      </c>
      <c r="I32" s="38"/>
      <c r="J32" s="38" t="s">
        <v>94</v>
      </c>
      <c r="K32" s="38"/>
      <c r="L32" s="39"/>
      <c r="P32" s="345"/>
    </row>
    <row r="33" spans="2:16" s="40" customFormat="1" ht="4" customHeight="1" x14ac:dyDescent="0.35">
      <c r="B33" s="343"/>
      <c r="C33" s="36"/>
      <c r="D33" s="349"/>
      <c r="E33" s="37"/>
      <c r="F33" s="346"/>
      <c r="G33" s="37"/>
      <c r="H33" s="37"/>
      <c r="I33" s="37"/>
      <c r="J33" s="37"/>
      <c r="K33" s="37"/>
      <c r="L33" s="39"/>
      <c r="P33" s="345"/>
    </row>
    <row r="34" spans="2:16" s="40" customFormat="1" ht="22" customHeight="1" x14ac:dyDescent="0.35">
      <c r="B34" s="343"/>
      <c r="C34" s="36"/>
      <c r="D34" s="347" t="s">
        <v>99</v>
      </c>
      <c r="E34" s="37" t="s">
        <v>6</v>
      </c>
      <c r="F34" s="38"/>
      <c r="G34" s="38"/>
      <c r="H34" s="38" t="s">
        <v>93</v>
      </c>
      <c r="I34" s="38"/>
      <c r="J34" s="38" t="s">
        <v>94</v>
      </c>
      <c r="K34" s="38"/>
      <c r="L34" s="39"/>
      <c r="P34" s="345"/>
    </row>
    <row r="35" spans="2:16" s="40" customFormat="1" ht="4" customHeight="1" x14ac:dyDescent="0.35">
      <c r="B35" s="343"/>
      <c r="C35" s="36"/>
      <c r="D35" s="349"/>
      <c r="E35" s="37"/>
      <c r="F35" s="346"/>
      <c r="G35" s="37"/>
      <c r="H35" s="37"/>
      <c r="I35" s="37"/>
      <c r="J35" s="37"/>
      <c r="K35" s="37"/>
      <c r="L35" s="39"/>
      <c r="P35" s="345"/>
    </row>
    <row r="36" spans="2:16" s="40" customFormat="1" ht="22" customHeight="1" x14ac:dyDescent="0.35">
      <c r="B36" s="343"/>
      <c r="C36" s="36"/>
      <c r="D36" s="347" t="s">
        <v>100</v>
      </c>
      <c r="E36" s="37" t="s">
        <v>6</v>
      </c>
      <c r="F36" s="38"/>
      <c r="G36" s="38"/>
      <c r="H36" s="38" t="s">
        <v>93</v>
      </c>
      <c r="I36" s="38"/>
      <c r="J36" s="38" t="s">
        <v>94</v>
      </c>
      <c r="K36" s="38"/>
      <c r="L36" s="39"/>
      <c r="P36" s="345"/>
    </row>
    <row r="37" spans="2:16" s="40" customFormat="1" ht="4" customHeight="1" x14ac:dyDescent="0.35">
      <c r="B37" s="343"/>
      <c r="C37" s="36"/>
      <c r="D37" s="349"/>
      <c r="E37" s="37"/>
      <c r="F37" s="346"/>
      <c r="G37" s="37"/>
      <c r="H37" s="37"/>
      <c r="I37" s="37"/>
      <c r="J37" s="37"/>
      <c r="K37" s="37"/>
      <c r="L37" s="39"/>
      <c r="P37" s="345"/>
    </row>
    <row r="38" spans="2:16" s="40" customFormat="1" ht="22" customHeight="1" x14ac:dyDescent="0.35">
      <c r="B38" s="343"/>
      <c r="C38" s="36"/>
      <c r="D38" s="347" t="s">
        <v>101</v>
      </c>
      <c r="E38" s="37" t="s">
        <v>6</v>
      </c>
      <c r="F38" s="38"/>
      <c r="G38" s="38"/>
      <c r="H38" s="38" t="s">
        <v>93</v>
      </c>
      <c r="I38" s="38"/>
      <c r="J38" s="38" t="s">
        <v>94</v>
      </c>
      <c r="K38" s="38"/>
      <c r="L38" s="39"/>
      <c r="P38" s="345"/>
    </row>
    <row r="39" spans="2:16" s="40" customFormat="1" ht="4" customHeight="1" x14ac:dyDescent="0.35">
      <c r="B39" s="343"/>
      <c r="C39" s="36"/>
      <c r="D39" s="349"/>
      <c r="E39" s="37"/>
      <c r="F39" s="346"/>
      <c r="G39" s="37"/>
      <c r="H39" s="37"/>
      <c r="I39" s="37"/>
      <c r="J39" s="37"/>
      <c r="K39" s="37"/>
      <c r="L39" s="39"/>
      <c r="P39" s="345"/>
    </row>
    <row r="40" spans="2:16" s="40" customFormat="1" ht="22" customHeight="1" x14ac:dyDescent="0.35">
      <c r="B40" s="343"/>
      <c r="C40" s="36"/>
      <c r="D40" s="347" t="s">
        <v>102</v>
      </c>
      <c r="E40" s="37" t="s">
        <v>6</v>
      </c>
      <c r="F40" s="38"/>
      <c r="G40" s="38"/>
      <c r="H40" s="38" t="s">
        <v>93</v>
      </c>
      <c r="I40" s="38"/>
      <c r="J40" s="38" t="s">
        <v>94</v>
      </c>
      <c r="K40" s="38"/>
      <c r="L40" s="39"/>
      <c r="P40" s="345"/>
    </row>
    <row r="41" spans="2:16" s="40" customFormat="1" ht="4" customHeight="1" x14ac:dyDescent="0.35">
      <c r="B41" s="343"/>
      <c r="C41" s="36"/>
      <c r="D41" s="37"/>
      <c r="E41" s="37"/>
      <c r="F41" s="346"/>
      <c r="G41" s="37"/>
      <c r="H41" s="37"/>
      <c r="I41" s="37"/>
      <c r="J41" s="37"/>
      <c r="K41" s="37"/>
      <c r="L41" s="39"/>
      <c r="P41" s="345"/>
    </row>
    <row r="42" spans="2:16" s="40" customFormat="1" ht="22" customHeight="1" x14ac:dyDescent="0.35">
      <c r="B42" s="343"/>
      <c r="C42" s="36"/>
      <c r="D42" s="38"/>
      <c r="E42" s="38"/>
      <c r="F42" s="38"/>
      <c r="G42" s="37" t="s">
        <v>103</v>
      </c>
      <c r="H42" s="37"/>
      <c r="I42" s="37"/>
      <c r="J42" s="37"/>
      <c r="K42" s="37"/>
      <c r="L42" s="39"/>
      <c r="P42" s="345"/>
    </row>
    <row r="43" spans="2:16" s="40" customFormat="1" ht="22" customHeight="1" x14ac:dyDescent="0.35">
      <c r="B43" s="343"/>
      <c r="C43" s="36"/>
      <c r="D43" s="37"/>
      <c r="E43" s="37"/>
      <c r="F43" s="37"/>
      <c r="G43" s="37"/>
      <c r="H43" s="37"/>
      <c r="I43" s="37"/>
      <c r="J43" s="37"/>
      <c r="K43" s="37"/>
      <c r="L43" s="39"/>
      <c r="P43" s="345"/>
    </row>
    <row r="44" spans="2:16" s="40" customFormat="1" ht="15" customHeight="1" x14ac:dyDescent="0.35">
      <c r="B44" s="343"/>
      <c r="C44" s="36"/>
      <c r="D44" s="350"/>
      <c r="E44" s="412"/>
      <c r="F44" s="412"/>
      <c r="G44" s="412"/>
      <c r="H44" s="37"/>
      <c r="I44" s="37"/>
      <c r="J44" s="37"/>
      <c r="K44" s="37"/>
      <c r="L44" s="39"/>
      <c r="P44" s="345"/>
    </row>
    <row r="45" spans="2:16" s="40" customFormat="1" ht="22" customHeight="1" x14ac:dyDescent="0.35">
      <c r="B45" s="343"/>
      <c r="C45" s="36"/>
      <c r="D45" s="37"/>
      <c r="E45" s="37"/>
      <c r="F45" s="37"/>
      <c r="G45" s="37"/>
      <c r="H45" s="37"/>
      <c r="I45" s="37"/>
      <c r="J45" s="37"/>
      <c r="K45" s="37"/>
      <c r="L45" s="39"/>
      <c r="P45" s="345"/>
    </row>
    <row r="46" spans="2:16" x14ac:dyDescent="0.35">
      <c r="B46" s="340"/>
      <c r="C46" s="7"/>
      <c r="D46" s="8"/>
      <c r="E46" s="8"/>
      <c r="F46" s="8"/>
      <c r="G46" s="8"/>
      <c r="H46" s="8"/>
      <c r="I46" s="8"/>
      <c r="J46" s="8"/>
      <c r="K46" s="8"/>
      <c r="L46" s="9"/>
      <c r="P46" s="342"/>
    </row>
    <row r="47" spans="2:16" x14ac:dyDescent="0.35">
      <c r="B47" s="340"/>
      <c r="C47" s="7"/>
      <c r="D47" s="8"/>
      <c r="E47" s="8"/>
      <c r="F47" s="8"/>
      <c r="G47" s="8"/>
      <c r="H47" s="8"/>
      <c r="I47" s="8"/>
      <c r="J47" s="8"/>
      <c r="K47" s="8"/>
      <c r="L47" s="9"/>
      <c r="P47" s="342"/>
    </row>
    <row r="48" spans="2:16" s="40" customFormat="1" ht="15" customHeight="1" x14ac:dyDescent="0.35">
      <c r="B48" s="343"/>
      <c r="C48" s="36"/>
      <c r="D48" s="350"/>
      <c r="E48" s="412"/>
      <c r="F48" s="412"/>
      <c r="G48" s="412"/>
      <c r="H48" s="37"/>
      <c r="I48" s="37"/>
      <c r="J48" s="37"/>
      <c r="K48" s="37"/>
      <c r="L48" s="39"/>
      <c r="P48" s="345"/>
    </row>
    <row r="49" spans="2:16" x14ac:dyDescent="0.35">
      <c r="B49" s="340"/>
      <c r="C49" s="10"/>
      <c r="D49" s="11"/>
      <c r="E49" s="11"/>
      <c r="F49" s="11"/>
      <c r="G49" s="11"/>
      <c r="H49" s="11"/>
      <c r="I49" s="11"/>
      <c r="J49" s="11"/>
      <c r="K49" s="11"/>
      <c r="L49" s="12"/>
      <c r="P49" s="342"/>
    </row>
    <row r="50" spans="2:16" x14ac:dyDescent="0.35">
      <c r="B50" s="340"/>
      <c r="P50" s="342"/>
    </row>
    <row r="51" spans="2:16" x14ac:dyDescent="0.35">
      <c r="B51" s="340"/>
      <c r="P51" s="342"/>
    </row>
    <row r="52" spans="2:16" x14ac:dyDescent="0.35">
      <c r="B52" s="340"/>
      <c r="P52" s="342"/>
    </row>
    <row r="53" spans="2:16" x14ac:dyDescent="0.35">
      <c r="B53" s="340"/>
      <c r="P53" s="342"/>
    </row>
    <row r="54" spans="2:16" x14ac:dyDescent="0.35">
      <c r="B54" s="340"/>
      <c r="P54" s="342"/>
    </row>
    <row r="55" spans="2:16" x14ac:dyDescent="0.35">
      <c r="B55" s="340"/>
      <c r="P55" s="342"/>
    </row>
    <row r="56" spans="2:16" x14ac:dyDescent="0.35">
      <c r="B56" s="340"/>
      <c r="P56" s="342"/>
    </row>
    <row r="57" spans="2:16" x14ac:dyDescent="0.35">
      <c r="B57" s="340"/>
      <c r="P57" s="342"/>
    </row>
    <row r="58" spans="2:16" x14ac:dyDescent="0.35">
      <c r="B58" s="340"/>
      <c r="P58" s="342"/>
    </row>
    <row r="59" spans="2:16" x14ac:dyDescent="0.35">
      <c r="B59" s="340"/>
      <c r="P59" s="342"/>
    </row>
    <row r="60" spans="2:16" x14ac:dyDescent="0.35">
      <c r="B60" s="340"/>
      <c r="P60" s="342"/>
    </row>
    <row r="61" spans="2:16" x14ac:dyDescent="0.35">
      <c r="B61" s="340"/>
      <c r="P61" s="342"/>
    </row>
    <row r="62" spans="2:16" x14ac:dyDescent="0.35">
      <c r="B62" s="340"/>
      <c r="P62" s="342"/>
    </row>
    <row r="63" spans="2:16" x14ac:dyDescent="0.35">
      <c r="B63" s="340"/>
      <c r="P63" s="342"/>
    </row>
    <row r="64" spans="2:16" x14ac:dyDescent="0.35">
      <c r="B64" s="340"/>
      <c r="P64" s="342"/>
    </row>
    <row r="65" spans="2:16" x14ac:dyDescent="0.35">
      <c r="B65" s="340"/>
      <c r="P65" s="342"/>
    </row>
    <row r="66" spans="2:16" x14ac:dyDescent="0.35">
      <c r="B66" s="351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3"/>
    </row>
  </sheetData>
  <mergeCells count="20">
    <mergeCell ref="AV3:AX3"/>
    <mergeCell ref="AY3:BA3"/>
    <mergeCell ref="F4:L4"/>
    <mergeCell ref="U3:W3"/>
    <mergeCell ref="X3:Z3"/>
    <mergeCell ref="AA3:AC3"/>
    <mergeCell ref="AD3:AF3"/>
    <mergeCell ref="AG3:AI3"/>
    <mergeCell ref="AJ3:AL3"/>
    <mergeCell ref="O3:O4"/>
    <mergeCell ref="P3:P4"/>
    <mergeCell ref="Q3:Q4"/>
    <mergeCell ref="R3:R4"/>
    <mergeCell ref="S3:S4"/>
    <mergeCell ref="T3:T4"/>
    <mergeCell ref="E44:G44"/>
    <mergeCell ref="E48:G48"/>
    <mergeCell ref="AM3:AO3"/>
    <mergeCell ref="AP3:AR3"/>
    <mergeCell ref="AS3:AU3"/>
  </mergeCells>
  <pageMargins left="0.7" right="0.75" top="0.75" bottom="0.75" header="0.3" footer="0.3"/>
  <pageSetup paperSize="9" orientation="portrait" r:id="rId1"/>
  <headerFooter>
    <oddFooter>&amp;R&amp;"Palatino Linotype,Italic"&amp;10Management Improvement 2012</oddFooter>
  </headerFooter>
  <ignoredErrors>
    <ignoredError sqref="D28:D40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F748-F431-4FEE-9044-DBD165C9064E}">
  <dimension ref="B2:BA66"/>
  <sheetViews>
    <sheetView showGridLines="0" topLeftCell="A3" workbookViewId="0">
      <selection activeCell="M24" sqref="M24"/>
    </sheetView>
  </sheetViews>
  <sheetFormatPr defaultRowHeight="14.5" x14ac:dyDescent="0.35"/>
  <cols>
    <col min="3" max="3" width="1.81640625" customWidth="1"/>
    <col min="4" max="4" width="25.1796875" customWidth="1"/>
    <col min="5" max="5" width="1.81640625" customWidth="1"/>
    <col min="12" max="13" width="9.1796875" customWidth="1"/>
    <col min="14" max="15" width="0" hidden="1" customWidth="1"/>
    <col min="16" max="17" width="12" hidden="1" customWidth="1"/>
    <col min="18" max="18" width="10.1796875" hidden="1" customWidth="1"/>
    <col min="19" max="19" width="9.81640625" hidden="1" customWidth="1"/>
    <col min="20" max="20" width="37.81640625" hidden="1" customWidth="1"/>
    <col min="21" max="54" width="0" hidden="1" customWidth="1"/>
  </cols>
  <sheetData>
    <row r="2" spans="2:53" x14ac:dyDescent="0.35">
      <c r="B2" s="337"/>
      <c r="C2" s="1"/>
      <c r="D2" s="2"/>
      <c r="E2" s="2"/>
      <c r="F2" s="2"/>
      <c r="G2" s="2"/>
      <c r="H2" s="2"/>
      <c r="I2" s="2"/>
      <c r="J2" s="2"/>
      <c r="K2" s="2"/>
      <c r="L2" s="3"/>
      <c r="M2" s="338"/>
      <c r="N2" s="338"/>
      <c r="O2" s="338"/>
      <c r="P2" s="339"/>
    </row>
    <row r="3" spans="2:53" x14ac:dyDescent="0.35">
      <c r="B3" s="340"/>
      <c r="C3" s="7"/>
      <c r="D3" s="8"/>
      <c r="E3" s="8"/>
      <c r="F3" s="8"/>
      <c r="G3" s="8"/>
      <c r="H3" s="8"/>
      <c r="I3" s="8"/>
      <c r="J3" s="8"/>
      <c r="K3" s="8"/>
      <c r="L3" s="9"/>
      <c r="O3" s="416" t="s">
        <v>0</v>
      </c>
      <c r="P3" s="417" t="s">
        <v>73</v>
      </c>
      <c r="Q3" s="419" t="s">
        <v>74</v>
      </c>
      <c r="R3" s="419" t="s">
        <v>75</v>
      </c>
      <c r="S3" s="419" t="s">
        <v>76</v>
      </c>
      <c r="T3" s="419" t="s">
        <v>77</v>
      </c>
      <c r="U3" s="413" t="s">
        <v>78</v>
      </c>
      <c r="V3" s="413"/>
      <c r="W3" s="413"/>
      <c r="X3" s="413" t="s">
        <v>79</v>
      </c>
      <c r="Y3" s="413"/>
      <c r="Z3" s="413"/>
      <c r="AA3" s="413" t="s">
        <v>80</v>
      </c>
      <c r="AB3" s="413"/>
      <c r="AC3" s="413"/>
      <c r="AD3" s="413" t="s">
        <v>81</v>
      </c>
      <c r="AE3" s="413"/>
      <c r="AF3" s="413"/>
      <c r="AG3" s="413" t="s">
        <v>82</v>
      </c>
      <c r="AH3" s="413"/>
      <c r="AI3" s="413"/>
      <c r="AJ3" s="413" t="s">
        <v>82</v>
      </c>
      <c r="AK3" s="413"/>
      <c r="AL3" s="413"/>
      <c r="AM3" s="413" t="s">
        <v>82</v>
      </c>
      <c r="AN3" s="413"/>
      <c r="AO3" s="413"/>
      <c r="AP3" s="413" t="s">
        <v>82</v>
      </c>
      <c r="AQ3" s="413"/>
      <c r="AR3" s="413"/>
      <c r="AS3" s="413" t="s">
        <v>82</v>
      </c>
      <c r="AT3" s="413"/>
      <c r="AU3" s="413"/>
      <c r="AV3" s="413" t="s">
        <v>82</v>
      </c>
      <c r="AW3" s="413"/>
      <c r="AX3" s="413"/>
      <c r="AY3" s="413" t="s">
        <v>82</v>
      </c>
      <c r="AZ3" s="413"/>
      <c r="BA3" s="413"/>
    </row>
    <row r="4" spans="2:53" ht="19" x14ac:dyDescent="0.4">
      <c r="B4" s="340"/>
      <c r="C4" s="7"/>
      <c r="D4" s="8"/>
      <c r="E4" s="8"/>
      <c r="F4" s="414" t="s">
        <v>237</v>
      </c>
      <c r="G4" s="414"/>
      <c r="H4" s="414"/>
      <c r="I4" s="414"/>
      <c r="J4" s="414"/>
      <c r="K4" s="414"/>
      <c r="L4" s="415"/>
      <c r="M4" s="341"/>
      <c r="O4" s="416"/>
      <c r="P4" s="418"/>
      <c r="Q4" s="420"/>
      <c r="R4" s="420"/>
      <c r="S4" s="420"/>
      <c r="T4" s="420"/>
      <c r="U4" s="35" t="s">
        <v>26</v>
      </c>
      <c r="V4" s="35" t="s">
        <v>29</v>
      </c>
      <c r="W4" s="35" t="s">
        <v>27</v>
      </c>
      <c r="X4" s="35" t="s">
        <v>26</v>
      </c>
      <c r="Y4" s="35" t="s">
        <v>29</v>
      </c>
      <c r="Z4" s="35" t="s">
        <v>27</v>
      </c>
      <c r="AA4" s="35" t="s">
        <v>26</v>
      </c>
      <c r="AB4" s="35" t="s">
        <v>29</v>
      </c>
      <c r="AC4" s="35" t="s">
        <v>27</v>
      </c>
      <c r="AD4" s="35" t="s">
        <v>83</v>
      </c>
      <c r="AE4" s="35" t="s">
        <v>29</v>
      </c>
      <c r="AF4" s="35" t="s">
        <v>27</v>
      </c>
      <c r="AG4" s="35" t="s">
        <v>26</v>
      </c>
      <c r="AH4" s="35" t="s">
        <v>29</v>
      </c>
      <c r="AI4" s="35" t="s">
        <v>27</v>
      </c>
      <c r="AJ4" s="35" t="s">
        <v>26</v>
      </c>
      <c r="AK4" s="35" t="s">
        <v>29</v>
      </c>
      <c r="AL4" s="35" t="s">
        <v>27</v>
      </c>
      <c r="AM4" s="35" t="s">
        <v>26</v>
      </c>
      <c r="AN4" s="35" t="s">
        <v>29</v>
      </c>
      <c r="AO4" s="35" t="s">
        <v>27</v>
      </c>
      <c r="AP4" s="35" t="s">
        <v>26</v>
      </c>
      <c r="AQ4" s="35" t="s">
        <v>29</v>
      </c>
      <c r="AR4" s="35" t="s">
        <v>27</v>
      </c>
      <c r="AS4" s="35" t="s">
        <v>26</v>
      </c>
      <c r="AT4" s="35" t="s">
        <v>29</v>
      </c>
      <c r="AU4" s="35" t="s">
        <v>27</v>
      </c>
      <c r="AV4" s="35" t="s">
        <v>26</v>
      </c>
      <c r="AW4" s="35" t="s">
        <v>29</v>
      </c>
      <c r="AX4" s="35" t="s">
        <v>27</v>
      </c>
      <c r="AY4" s="35" t="s">
        <v>26</v>
      </c>
      <c r="AZ4" s="35" t="s">
        <v>29</v>
      </c>
      <c r="BA4" s="35" t="s">
        <v>27</v>
      </c>
    </row>
    <row r="5" spans="2:53" x14ac:dyDescent="0.35">
      <c r="B5" s="340"/>
      <c r="C5" s="7"/>
      <c r="D5" s="8"/>
      <c r="E5" s="8"/>
      <c r="F5" s="8"/>
      <c r="G5" s="8"/>
      <c r="H5" s="8"/>
      <c r="I5" s="8"/>
      <c r="J5" s="8"/>
      <c r="K5" s="8"/>
      <c r="L5" s="9"/>
      <c r="O5" s="35">
        <f>F12</f>
        <v>0</v>
      </c>
      <c r="P5" s="35">
        <f>F14</f>
        <v>0</v>
      </c>
      <c r="Q5" s="35">
        <f>F10</f>
        <v>0</v>
      </c>
      <c r="R5" s="35">
        <f>F16</f>
        <v>0</v>
      </c>
      <c r="S5" s="35">
        <f>K20</f>
        <v>0</v>
      </c>
      <c r="T5" s="35">
        <f>F20</f>
        <v>0</v>
      </c>
      <c r="U5" s="35">
        <f>F22</f>
        <v>0</v>
      </c>
      <c r="V5" s="35">
        <f>I22</f>
        <v>0</v>
      </c>
      <c r="W5" s="35">
        <f>K22</f>
        <v>0</v>
      </c>
      <c r="X5" s="35">
        <f>F24</f>
        <v>0</v>
      </c>
      <c r="Y5" s="35">
        <f>I24</f>
        <v>0</v>
      </c>
      <c r="Z5" s="35">
        <f>K24</f>
        <v>0</v>
      </c>
      <c r="AA5" s="35" t="e">
        <f>#REF!</f>
        <v>#REF!</v>
      </c>
      <c r="AB5" s="35" t="e">
        <f>#REF!</f>
        <v>#REF!</v>
      </c>
      <c r="AC5" s="35" t="e">
        <f>#REF!</f>
        <v>#REF!</v>
      </c>
      <c r="AD5" s="35">
        <f>F26</f>
        <v>0</v>
      </c>
      <c r="AE5" s="35">
        <f>I26</f>
        <v>0</v>
      </c>
      <c r="AF5" s="35">
        <f>K26</f>
        <v>0</v>
      </c>
      <c r="AG5" s="35">
        <f>$F29</f>
        <v>0</v>
      </c>
      <c r="AH5" s="35">
        <f>$I29</f>
        <v>0</v>
      </c>
      <c r="AI5" s="35">
        <f>$K29</f>
        <v>0</v>
      </c>
      <c r="AJ5" s="35">
        <f>$F31</f>
        <v>0</v>
      </c>
      <c r="AK5" s="35">
        <f>$I31</f>
        <v>0</v>
      </c>
      <c r="AL5" s="35">
        <f>$K31</f>
        <v>0</v>
      </c>
      <c r="AM5" s="35">
        <f>$F33</f>
        <v>0</v>
      </c>
      <c r="AN5" s="35">
        <f>$I33</f>
        <v>0</v>
      </c>
      <c r="AO5" s="35">
        <f>$K33</f>
        <v>0</v>
      </c>
      <c r="AP5" s="35">
        <f>$F35</f>
        <v>0</v>
      </c>
      <c r="AQ5" s="35">
        <f>$I35</f>
        <v>0</v>
      </c>
      <c r="AR5" s="35">
        <f>$K35</f>
        <v>0</v>
      </c>
      <c r="AS5" s="35">
        <f>$F37</f>
        <v>0</v>
      </c>
      <c r="AT5" s="35">
        <f>$I37</f>
        <v>0</v>
      </c>
      <c r="AU5" s="35">
        <f>$K37</f>
        <v>0</v>
      </c>
      <c r="AV5" s="35">
        <f>$F39</f>
        <v>0</v>
      </c>
      <c r="AW5" s="35">
        <f>$I39</f>
        <v>0</v>
      </c>
      <c r="AX5" s="35">
        <f>$K39</f>
        <v>0</v>
      </c>
      <c r="AY5" s="35">
        <f>$F41</f>
        <v>0</v>
      </c>
      <c r="AZ5" s="35">
        <f>$I41</f>
        <v>0</v>
      </c>
      <c r="BA5" s="35">
        <f>$K41</f>
        <v>0</v>
      </c>
    </row>
    <row r="6" spans="2:53" x14ac:dyDescent="0.35">
      <c r="B6" s="340"/>
      <c r="C6" s="7"/>
      <c r="D6" s="8"/>
      <c r="E6" s="8"/>
      <c r="F6" s="8"/>
      <c r="G6" s="8"/>
      <c r="H6" s="8"/>
      <c r="I6" s="8"/>
      <c r="J6" s="8"/>
      <c r="K6" s="8"/>
      <c r="L6" s="9"/>
      <c r="P6" s="342"/>
    </row>
    <row r="7" spans="2:53" x14ac:dyDescent="0.35">
      <c r="B7" s="340"/>
      <c r="C7" s="7"/>
      <c r="D7" s="8" t="s">
        <v>84</v>
      </c>
      <c r="E7" s="8"/>
      <c r="F7" s="8"/>
      <c r="G7" s="8"/>
      <c r="H7" s="8"/>
      <c r="I7" s="8"/>
      <c r="J7" s="8"/>
      <c r="K7" s="8"/>
      <c r="L7" s="9"/>
      <c r="P7" s="342"/>
    </row>
    <row r="8" spans="2:53" x14ac:dyDescent="0.35">
      <c r="B8" s="340"/>
      <c r="C8" s="7"/>
      <c r="D8" s="8" t="s">
        <v>85</v>
      </c>
      <c r="E8" s="8"/>
      <c r="F8" s="8"/>
      <c r="G8" s="8"/>
      <c r="H8" s="8"/>
      <c r="I8" s="8"/>
      <c r="J8" s="8"/>
      <c r="K8" s="8"/>
      <c r="L8" s="9"/>
      <c r="P8" s="342"/>
    </row>
    <row r="9" spans="2:53" x14ac:dyDescent="0.35">
      <c r="B9" s="340"/>
      <c r="C9" s="7"/>
      <c r="D9" s="8"/>
      <c r="E9" s="8"/>
      <c r="F9" s="8"/>
      <c r="G9" s="8"/>
      <c r="H9" s="8"/>
      <c r="I9" s="8"/>
      <c r="J9" s="8"/>
      <c r="K9" s="8"/>
      <c r="L9" s="9"/>
      <c r="P9" s="342"/>
    </row>
    <row r="10" spans="2:53" s="40" customFormat="1" ht="22" customHeight="1" x14ac:dyDescent="0.35">
      <c r="B10" s="343"/>
      <c r="C10" s="36"/>
      <c r="D10" s="344" t="s">
        <v>238</v>
      </c>
      <c r="E10" s="37" t="s">
        <v>6</v>
      </c>
      <c r="F10" s="38"/>
      <c r="G10" s="38"/>
      <c r="H10" s="38"/>
      <c r="I10" s="38"/>
      <c r="J10" s="38" t="s">
        <v>86</v>
      </c>
      <c r="K10" s="38"/>
      <c r="L10" s="39"/>
      <c r="P10" s="345"/>
    </row>
    <row r="11" spans="2:53" s="40" customFormat="1" ht="4" customHeight="1" x14ac:dyDescent="0.35">
      <c r="B11" s="343"/>
      <c r="C11" s="36"/>
      <c r="D11" s="344"/>
      <c r="E11" s="37"/>
      <c r="F11" s="37"/>
      <c r="G11" s="37"/>
      <c r="H11" s="37"/>
      <c r="I11" s="37"/>
      <c r="J11" s="37"/>
      <c r="K11" s="37"/>
      <c r="L11" s="39"/>
      <c r="P11" s="345"/>
    </row>
    <row r="12" spans="2:53" s="40" customFormat="1" ht="22" customHeight="1" x14ac:dyDescent="0.35">
      <c r="B12" s="343"/>
      <c r="C12" s="36"/>
      <c r="D12" s="344" t="s">
        <v>87</v>
      </c>
      <c r="E12" s="37" t="s">
        <v>6</v>
      </c>
      <c r="F12" s="38"/>
      <c r="G12" s="38"/>
      <c r="H12" s="38"/>
      <c r="I12" s="38"/>
      <c r="J12" s="38"/>
      <c r="K12" s="38"/>
      <c r="L12" s="39"/>
      <c r="P12" s="345"/>
    </row>
    <row r="13" spans="2:53" s="40" customFormat="1" ht="4" customHeight="1" x14ac:dyDescent="0.35">
      <c r="B13" s="343"/>
      <c r="C13" s="36"/>
      <c r="D13" s="344"/>
      <c r="E13" s="37"/>
      <c r="F13" s="37"/>
      <c r="G13" s="37"/>
      <c r="H13" s="37"/>
      <c r="I13" s="37"/>
      <c r="J13" s="37"/>
      <c r="K13" s="37"/>
      <c r="L13" s="39"/>
      <c r="P13" s="345"/>
    </row>
    <row r="14" spans="2:53" s="40" customFormat="1" ht="22" customHeight="1" x14ac:dyDescent="0.35">
      <c r="B14" s="343"/>
      <c r="C14" s="36"/>
      <c r="D14" s="344" t="s">
        <v>88</v>
      </c>
      <c r="E14" s="37" t="s">
        <v>6</v>
      </c>
      <c r="F14" s="38"/>
      <c r="G14" s="38"/>
      <c r="H14" s="38"/>
      <c r="I14" s="38"/>
      <c r="J14" s="38"/>
      <c r="K14" s="38"/>
      <c r="L14" s="39"/>
      <c r="P14" s="345"/>
    </row>
    <row r="15" spans="2:53" s="40" customFormat="1" ht="4" customHeight="1" x14ac:dyDescent="0.35">
      <c r="B15" s="343"/>
      <c r="C15" s="36"/>
      <c r="D15" s="344"/>
      <c r="E15" s="37"/>
      <c r="F15" s="37"/>
      <c r="G15" s="37"/>
      <c r="H15" s="37"/>
      <c r="I15" s="37"/>
      <c r="J15" s="37"/>
      <c r="K15" s="37"/>
      <c r="L15" s="39"/>
      <c r="P15" s="345"/>
    </row>
    <row r="16" spans="2:53" s="40" customFormat="1" ht="22" customHeight="1" x14ac:dyDescent="0.35">
      <c r="B16" s="343"/>
      <c r="C16" s="36"/>
      <c r="D16" s="344" t="s">
        <v>89</v>
      </c>
      <c r="E16" s="37" t="s">
        <v>6</v>
      </c>
      <c r="F16" s="38"/>
      <c r="G16" s="38"/>
      <c r="H16" s="38"/>
      <c r="I16" s="38"/>
      <c r="J16" s="38"/>
      <c r="K16" s="38"/>
      <c r="L16" s="39"/>
      <c r="P16" s="345"/>
    </row>
    <row r="17" spans="2:16" s="40" customFormat="1" ht="4" customHeight="1" x14ac:dyDescent="0.35">
      <c r="B17" s="343"/>
      <c r="C17" s="36"/>
      <c r="D17" s="344"/>
      <c r="E17" s="37"/>
      <c r="F17" s="37"/>
      <c r="G17" s="37"/>
      <c r="H17" s="37"/>
      <c r="I17" s="37"/>
      <c r="J17" s="37"/>
      <c r="K17" s="37"/>
      <c r="L17" s="39"/>
      <c r="P17" s="345"/>
    </row>
    <row r="18" spans="2:16" s="40" customFormat="1" ht="22" customHeight="1" x14ac:dyDescent="0.35">
      <c r="B18" s="343"/>
      <c r="C18" s="36"/>
      <c r="D18" s="344" t="s">
        <v>90</v>
      </c>
      <c r="E18" s="37" t="s">
        <v>6</v>
      </c>
      <c r="F18" s="38"/>
      <c r="G18" s="38"/>
      <c r="H18" s="38"/>
      <c r="I18" s="38"/>
      <c r="J18" s="38"/>
      <c r="K18" s="38"/>
      <c r="L18" s="39"/>
      <c r="P18" s="345"/>
    </row>
    <row r="19" spans="2:16" s="40" customFormat="1" ht="4" customHeight="1" x14ac:dyDescent="0.35">
      <c r="B19" s="343"/>
      <c r="C19" s="36"/>
      <c r="D19" s="344"/>
      <c r="E19" s="37"/>
      <c r="F19" s="37"/>
      <c r="G19" s="37"/>
      <c r="H19" s="37"/>
      <c r="I19" s="37"/>
      <c r="J19" s="37"/>
      <c r="K19" s="37"/>
      <c r="L19" s="39"/>
      <c r="P19" s="345"/>
    </row>
    <row r="20" spans="2:16" s="40" customFormat="1" ht="22" customHeight="1" x14ac:dyDescent="0.35">
      <c r="B20" s="343"/>
      <c r="C20" s="36"/>
      <c r="D20" s="344" t="s">
        <v>91</v>
      </c>
      <c r="E20" s="37" t="s">
        <v>6</v>
      </c>
      <c r="F20" s="38"/>
      <c r="G20" s="38"/>
      <c r="H20" s="38"/>
      <c r="I20" s="38"/>
      <c r="J20" s="38" t="s">
        <v>92</v>
      </c>
      <c r="K20" s="38"/>
      <c r="L20" s="39"/>
      <c r="P20" s="345"/>
    </row>
    <row r="21" spans="2:16" s="40" customFormat="1" ht="4" customHeight="1" x14ac:dyDescent="0.35">
      <c r="B21" s="343"/>
      <c r="C21" s="36"/>
      <c r="D21" s="344"/>
      <c r="E21" s="37"/>
      <c r="F21" s="37"/>
      <c r="G21" s="37"/>
      <c r="H21" s="37"/>
      <c r="I21" s="37"/>
      <c r="J21" s="37"/>
      <c r="K21" s="37"/>
      <c r="L21" s="39"/>
      <c r="P21" s="345"/>
    </row>
    <row r="22" spans="2:16" s="40" customFormat="1" ht="22" customHeight="1" x14ac:dyDescent="0.35">
      <c r="B22" s="343"/>
      <c r="C22" s="36"/>
      <c r="D22" s="344" t="s">
        <v>78</v>
      </c>
      <c r="E22" s="37" t="s">
        <v>6</v>
      </c>
      <c r="F22" s="38"/>
      <c r="G22" s="38"/>
      <c r="H22" s="38" t="s">
        <v>93</v>
      </c>
      <c r="I22" s="38"/>
      <c r="J22" s="38" t="s">
        <v>94</v>
      </c>
      <c r="K22" s="38"/>
      <c r="L22" s="39"/>
      <c r="P22" s="345"/>
    </row>
    <row r="23" spans="2:16" s="40" customFormat="1" ht="4" customHeight="1" x14ac:dyDescent="0.35">
      <c r="B23" s="343"/>
      <c r="C23" s="36"/>
      <c r="D23" s="344"/>
      <c r="E23" s="37"/>
      <c r="F23" s="37"/>
      <c r="G23" s="37"/>
      <c r="H23" s="37"/>
      <c r="I23" s="37"/>
      <c r="J23" s="37"/>
      <c r="K23" s="37"/>
      <c r="L23" s="39"/>
      <c r="P23" s="345"/>
    </row>
    <row r="24" spans="2:16" s="40" customFormat="1" ht="22" customHeight="1" x14ac:dyDescent="0.35">
      <c r="B24" s="343"/>
      <c r="C24" s="36"/>
      <c r="D24" s="344" t="s">
        <v>95</v>
      </c>
      <c r="E24" s="37" t="s">
        <v>6</v>
      </c>
      <c r="F24" s="38"/>
      <c r="G24" s="38"/>
      <c r="H24" s="38" t="s">
        <v>93</v>
      </c>
      <c r="I24" s="38"/>
      <c r="J24" s="38" t="s">
        <v>94</v>
      </c>
      <c r="K24" s="38"/>
      <c r="L24" s="39"/>
      <c r="P24" s="345"/>
    </row>
    <row r="25" spans="2:16" s="40" customFormat="1" ht="4" customHeight="1" x14ac:dyDescent="0.35">
      <c r="B25" s="343"/>
      <c r="C25" s="36"/>
      <c r="D25" s="344"/>
      <c r="E25" s="37"/>
      <c r="F25" s="37"/>
      <c r="G25" s="37"/>
      <c r="H25" s="37"/>
      <c r="I25" s="37"/>
      <c r="J25" s="37"/>
      <c r="K25" s="37"/>
      <c r="L25" s="39"/>
      <c r="P25" s="345"/>
    </row>
    <row r="26" spans="2:16" s="40" customFormat="1" ht="22" customHeight="1" x14ac:dyDescent="0.35">
      <c r="B26" s="343"/>
      <c r="C26" s="36"/>
      <c r="D26" s="344" t="s">
        <v>81</v>
      </c>
      <c r="E26" s="37" t="s">
        <v>6</v>
      </c>
      <c r="F26" s="38"/>
      <c r="G26" s="38"/>
      <c r="H26" s="38" t="s">
        <v>93</v>
      </c>
      <c r="I26" s="38"/>
      <c r="J26" s="38" t="s">
        <v>94</v>
      </c>
      <c r="K26" s="38"/>
      <c r="L26" s="39"/>
      <c r="P26" s="345"/>
    </row>
    <row r="27" spans="2:16" s="40" customFormat="1" ht="4" customHeight="1" x14ac:dyDescent="0.35">
      <c r="B27" s="343"/>
      <c r="C27" s="36"/>
      <c r="D27" s="344"/>
      <c r="E27" s="37"/>
      <c r="F27" s="37"/>
      <c r="G27" s="37"/>
      <c r="H27" s="37"/>
      <c r="I27" s="37"/>
      <c r="J27" s="37"/>
      <c r="K27" s="37"/>
      <c r="L27" s="39"/>
      <c r="P27" s="345"/>
    </row>
    <row r="28" spans="2:16" s="40" customFormat="1" ht="22" customHeight="1" x14ac:dyDescent="0.35">
      <c r="B28" s="343"/>
      <c r="C28" s="36"/>
      <c r="D28" s="344" t="s">
        <v>82</v>
      </c>
      <c r="E28" s="37"/>
      <c r="F28" s="346"/>
      <c r="G28" s="37"/>
      <c r="H28" s="37"/>
      <c r="I28" s="37"/>
      <c r="J28" s="37"/>
      <c r="K28" s="37"/>
      <c r="L28" s="39"/>
      <c r="P28" s="345"/>
    </row>
    <row r="29" spans="2:16" s="40" customFormat="1" ht="22" customHeight="1" x14ac:dyDescent="0.35">
      <c r="B29" s="343"/>
      <c r="C29" s="36"/>
      <c r="D29" s="347" t="s">
        <v>96</v>
      </c>
      <c r="E29" s="37" t="s">
        <v>6</v>
      </c>
      <c r="F29" s="38"/>
      <c r="G29" s="38"/>
      <c r="H29" s="38" t="s">
        <v>93</v>
      </c>
      <c r="I29" s="38"/>
      <c r="J29" s="38" t="s">
        <v>94</v>
      </c>
      <c r="K29" s="38"/>
      <c r="L29" s="39"/>
      <c r="P29" s="345"/>
    </row>
    <row r="30" spans="2:16" s="40" customFormat="1" ht="4" customHeight="1" x14ac:dyDescent="0.35">
      <c r="B30" s="343"/>
      <c r="C30" s="36"/>
      <c r="D30" s="348"/>
      <c r="E30" s="37"/>
      <c r="F30" s="346"/>
      <c r="G30" s="37"/>
      <c r="H30" s="37"/>
      <c r="I30" s="37"/>
      <c r="J30" s="37"/>
      <c r="K30" s="37"/>
      <c r="L30" s="39"/>
      <c r="P30" s="345"/>
    </row>
    <row r="31" spans="2:16" s="40" customFormat="1" ht="22" customHeight="1" x14ac:dyDescent="0.35">
      <c r="B31" s="343"/>
      <c r="C31" s="36"/>
      <c r="D31" s="347" t="s">
        <v>97</v>
      </c>
      <c r="E31" s="37" t="s">
        <v>6</v>
      </c>
      <c r="F31" s="38"/>
      <c r="G31" s="38"/>
      <c r="H31" s="38" t="s">
        <v>93</v>
      </c>
      <c r="I31" s="38"/>
      <c r="J31" s="38" t="s">
        <v>94</v>
      </c>
      <c r="K31" s="38"/>
      <c r="L31" s="39"/>
      <c r="P31" s="345"/>
    </row>
    <row r="32" spans="2:16" s="40" customFormat="1" ht="4" customHeight="1" x14ac:dyDescent="0.35">
      <c r="B32" s="343"/>
      <c r="C32" s="36"/>
      <c r="D32" s="349"/>
      <c r="E32" s="37"/>
      <c r="F32" s="346"/>
      <c r="G32" s="37"/>
      <c r="H32" s="37"/>
      <c r="I32" s="37"/>
      <c r="J32" s="37"/>
      <c r="K32" s="37"/>
      <c r="L32" s="39"/>
      <c r="P32" s="345"/>
    </row>
    <row r="33" spans="2:16" s="40" customFormat="1" ht="22" customHeight="1" x14ac:dyDescent="0.35">
      <c r="B33" s="343"/>
      <c r="C33" s="36"/>
      <c r="D33" s="347" t="s">
        <v>98</v>
      </c>
      <c r="E33" s="37" t="s">
        <v>6</v>
      </c>
      <c r="F33" s="38"/>
      <c r="G33" s="38"/>
      <c r="H33" s="38" t="s">
        <v>93</v>
      </c>
      <c r="I33" s="38"/>
      <c r="J33" s="38" t="s">
        <v>94</v>
      </c>
      <c r="K33" s="38"/>
      <c r="L33" s="39"/>
      <c r="P33" s="345"/>
    </row>
    <row r="34" spans="2:16" s="40" customFormat="1" ht="4" customHeight="1" x14ac:dyDescent="0.35">
      <c r="B34" s="343"/>
      <c r="C34" s="36"/>
      <c r="D34" s="349"/>
      <c r="E34" s="37"/>
      <c r="F34" s="346"/>
      <c r="G34" s="37"/>
      <c r="H34" s="37"/>
      <c r="I34" s="37"/>
      <c r="J34" s="37"/>
      <c r="K34" s="37"/>
      <c r="L34" s="39"/>
      <c r="P34" s="345"/>
    </row>
    <row r="35" spans="2:16" s="40" customFormat="1" ht="22" customHeight="1" x14ac:dyDescent="0.35">
      <c r="B35" s="343"/>
      <c r="C35" s="36"/>
      <c r="D35" s="347" t="s">
        <v>99</v>
      </c>
      <c r="E35" s="37" t="s">
        <v>6</v>
      </c>
      <c r="F35" s="38"/>
      <c r="G35" s="38"/>
      <c r="H35" s="38" t="s">
        <v>93</v>
      </c>
      <c r="I35" s="38"/>
      <c r="J35" s="38" t="s">
        <v>94</v>
      </c>
      <c r="K35" s="38"/>
      <c r="L35" s="39"/>
      <c r="P35" s="345"/>
    </row>
    <row r="36" spans="2:16" s="40" customFormat="1" ht="4" customHeight="1" x14ac:dyDescent="0.35">
      <c r="B36" s="343"/>
      <c r="C36" s="36"/>
      <c r="D36" s="349"/>
      <c r="E36" s="37"/>
      <c r="F36" s="346"/>
      <c r="G36" s="37"/>
      <c r="H36" s="37"/>
      <c r="I36" s="37"/>
      <c r="J36" s="37"/>
      <c r="K36" s="37"/>
      <c r="L36" s="39"/>
      <c r="P36" s="345"/>
    </row>
    <row r="37" spans="2:16" s="40" customFormat="1" ht="22" customHeight="1" x14ac:dyDescent="0.35">
      <c r="B37" s="343"/>
      <c r="C37" s="36"/>
      <c r="D37" s="347" t="s">
        <v>100</v>
      </c>
      <c r="E37" s="37" t="s">
        <v>6</v>
      </c>
      <c r="F37" s="38"/>
      <c r="G37" s="38"/>
      <c r="H37" s="38" t="s">
        <v>93</v>
      </c>
      <c r="I37" s="38"/>
      <c r="J37" s="38" t="s">
        <v>94</v>
      </c>
      <c r="K37" s="38"/>
      <c r="L37" s="39"/>
      <c r="P37" s="345"/>
    </row>
    <row r="38" spans="2:16" s="40" customFormat="1" ht="4" customHeight="1" x14ac:dyDescent="0.35">
      <c r="B38" s="343"/>
      <c r="C38" s="36"/>
      <c r="D38" s="349"/>
      <c r="E38" s="37"/>
      <c r="F38" s="346"/>
      <c r="G38" s="37"/>
      <c r="H38" s="37"/>
      <c r="I38" s="37"/>
      <c r="J38" s="37"/>
      <c r="K38" s="37"/>
      <c r="L38" s="39"/>
      <c r="P38" s="345"/>
    </row>
    <row r="39" spans="2:16" s="40" customFormat="1" ht="22" customHeight="1" x14ac:dyDescent="0.35">
      <c r="B39" s="343"/>
      <c r="C39" s="36"/>
      <c r="D39" s="347" t="s">
        <v>101</v>
      </c>
      <c r="E39" s="37" t="s">
        <v>6</v>
      </c>
      <c r="F39" s="38"/>
      <c r="G39" s="38"/>
      <c r="H39" s="38" t="s">
        <v>93</v>
      </c>
      <c r="I39" s="38"/>
      <c r="J39" s="38" t="s">
        <v>94</v>
      </c>
      <c r="K39" s="38"/>
      <c r="L39" s="39"/>
      <c r="P39" s="345"/>
    </row>
    <row r="40" spans="2:16" s="40" customFormat="1" ht="4" customHeight="1" x14ac:dyDescent="0.35">
      <c r="B40" s="343"/>
      <c r="C40" s="36"/>
      <c r="D40" s="349"/>
      <c r="E40" s="37"/>
      <c r="F40" s="346"/>
      <c r="G40" s="37"/>
      <c r="H40" s="37"/>
      <c r="I40" s="37"/>
      <c r="J40" s="37"/>
      <c r="K40" s="37"/>
      <c r="L40" s="39"/>
      <c r="P40" s="345"/>
    </row>
    <row r="41" spans="2:16" s="40" customFormat="1" ht="22" customHeight="1" x14ac:dyDescent="0.35">
      <c r="B41" s="343"/>
      <c r="C41" s="36"/>
      <c r="D41" s="347" t="s">
        <v>102</v>
      </c>
      <c r="E41" s="37" t="s">
        <v>6</v>
      </c>
      <c r="F41" s="38"/>
      <c r="G41" s="38"/>
      <c r="H41" s="38" t="s">
        <v>93</v>
      </c>
      <c r="I41" s="38"/>
      <c r="J41" s="38" t="s">
        <v>94</v>
      </c>
      <c r="K41" s="38"/>
      <c r="L41" s="39"/>
      <c r="P41" s="345"/>
    </row>
    <row r="42" spans="2:16" s="40" customFormat="1" ht="4" customHeight="1" x14ac:dyDescent="0.35">
      <c r="B42" s="343"/>
      <c r="C42" s="36"/>
      <c r="D42" s="37"/>
      <c r="E42" s="37"/>
      <c r="F42" s="346"/>
      <c r="G42" s="37"/>
      <c r="H42" s="37"/>
      <c r="I42" s="37"/>
      <c r="J42" s="37"/>
      <c r="K42" s="37"/>
      <c r="L42" s="39"/>
      <c r="P42" s="345"/>
    </row>
    <row r="43" spans="2:16" s="40" customFormat="1" ht="22" customHeight="1" x14ac:dyDescent="0.35">
      <c r="B43" s="343"/>
      <c r="C43" s="36"/>
      <c r="D43" s="38"/>
      <c r="E43" s="38"/>
      <c r="F43" s="38"/>
      <c r="G43" s="37" t="s">
        <v>103</v>
      </c>
      <c r="H43" s="37"/>
      <c r="I43" s="37"/>
      <c r="J43" s="37"/>
      <c r="K43" s="37"/>
      <c r="L43" s="39"/>
      <c r="P43" s="345"/>
    </row>
    <row r="44" spans="2:16" s="40" customFormat="1" ht="22" customHeight="1" x14ac:dyDescent="0.35">
      <c r="B44" s="343"/>
      <c r="C44" s="36"/>
      <c r="D44" s="37"/>
      <c r="E44" s="37"/>
      <c r="F44" s="37"/>
      <c r="G44" s="37"/>
      <c r="H44" s="37"/>
      <c r="I44" s="37"/>
      <c r="J44" s="37"/>
      <c r="K44" s="37"/>
      <c r="L44" s="39"/>
      <c r="P44" s="345"/>
    </row>
    <row r="45" spans="2:16" s="40" customFormat="1" ht="15" customHeight="1" x14ac:dyDescent="0.35">
      <c r="B45" s="343"/>
      <c r="C45" s="36"/>
      <c r="D45" s="350"/>
      <c r="E45" s="412"/>
      <c r="F45" s="412"/>
      <c r="G45" s="412"/>
      <c r="H45" s="37"/>
      <c r="I45" s="37"/>
      <c r="J45" s="37"/>
      <c r="K45" s="37"/>
      <c r="L45" s="39"/>
      <c r="P45" s="345"/>
    </row>
    <row r="46" spans="2:16" s="40" customFormat="1" ht="22" customHeight="1" x14ac:dyDescent="0.35">
      <c r="B46" s="343"/>
      <c r="C46" s="36"/>
      <c r="D46" s="37"/>
      <c r="E46" s="37"/>
      <c r="F46" s="37"/>
      <c r="G46" s="37"/>
      <c r="H46" s="37"/>
      <c r="I46" s="37"/>
      <c r="J46" s="37"/>
      <c r="K46" s="37"/>
      <c r="L46" s="39"/>
      <c r="P46" s="345"/>
    </row>
    <row r="47" spans="2:16" x14ac:dyDescent="0.35">
      <c r="B47" s="340"/>
      <c r="C47" s="7"/>
      <c r="D47" s="8"/>
      <c r="E47" s="8"/>
      <c r="F47" s="8"/>
      <c r="G47" s="8"/>
      <c r="H47" s="8"/>
      <c r="I47" s="8"/>
      <c r="J47" s="8"/>
      <c r="K47" s="8"/>
      <c r="L47" s="9"/>
      <c r="P47" s="342"/>
    </row>
    <row r="48" spans="2:16" x14ac:dyDescent="0.35">
      <c r="B48" s="340"/>
      <c r="C48" s="7"/>
      <c r="D48" s="8"/>
      <c r="E48" s="8"/>
      <c r="F48" s="8"/>
      <c r="G48" s="8"/>
      <c r="H48" s="8"/>
      <c r="I48" s="8"/>
      <c r="J48" s="8"/>
      <c r="K48" s="8"/>
      <c r="L48" s="9"/>
      <c r="P48" s="342"/>
    </row>
    <row r="49" spans="2:16" s="40" customFormat="1" ht="15" customHeight="1" x14ac:dyDescent="0.35">
      <c r="B49" s="343"/>
      <c r="C49" s="36"/>
      <c r="D49" s="350"/>
      <c r="E49" s="412"/>
      <c r="F49" s="412"/>
      <c r="G49" s="412"/>
      <c r="H49" s="37"/>
      <c r="I49" s="37"/>
      <c r="J49" s="37"/>
      <c r="K49" s="37"/>
      <c r="L49" s="39"/>
      <c r="P49" s="345"/>
    </row>
    <row r="50" spans="2:16" x14ac:dyDescent="0.35">
      <c r="B50" s="340"/>
      <c r="C50" s="10"/>
      <c r="D50" s="11"/>
      <c r="E50" s="11"/>
      <c r="F50" s="11"/>
      <c r="G50" s="11"/>
      <c r="H50" s="11"/>
      <c r="I50" s="11"/>
      <c r="J50" s="11"/>
      <c r="K50" s="11"/>
      <c r="L50" s="12"/>
      <c r="P50" s="342"/>
    </row>
    <row r="51" spans="2:16" x14ac:dyDescent="0.35">
      <c r="B51" s="340"/>
      <c r="P51" s="342"/>
    </row>
    <row r="52" spans="2:16" x14ac:dyDescent="0.35">
      <c r="B52" s="340"/>
      <c r="P52" s="342"/>
    </row>
    <row r="53" spans="2:16" x14ac:dyDescent="0.35">
      <c r="B53" s="340"/>
      <c r="P53" s="342"/>
    </row>
    <row r="54" spans="2:16" x14ac:dyDescent="0.35">
      <c r="B54" s="340"/>
      <c r="P54" s="342"/>
    </row>
    <row r="55" spans="2:16" x14ac:dyDescent="0.35">
      <c r="B55" s="340"/>
      <c r="P55" s="342"/>
    </row>
    <row r="56" spans="2:16" x14ac:dyDescent="0.35">
      <c r="B56" s="340"/>
      <c r="P56" s="342"/>
    </row>
    <row r="57" spans="2:16" x14ac:dyDescent="0.35">
      <c r="B57" s="340"/>
      <c r="P57" s="342"/>
    </row>
    <row r="58" spans="2:16" x14ac:dyDescent="0.35">
      <c r="B58" s="340"/>
      <c r="P58" s="342"/>
    </row>
    <row r="59" spans="2:16" x14ac:dyDescent="0.35">
      <c r="B59" s="340"/>
      <c r="P59" s="342"/>
    </row>
    <row r="60" spans="2:16" x14ac:dyDescent="0.35">
      <c r="B60" s="340"/>
      <c r="P60" s="342"/>
    </row>
    <row r="61" spans="2:16" x14ac:dyDescent="0.35">
      <c r="B61" s="340"/>
      <c r="P61" s="342"/>
    </row>
    <row r="62" spans="2:16" x14ac:dyDescent="0.35">
      <c r="B62" s="340"/>
      <c r="P62" s="342"/>
    </row>
    <row r="63" spans="2:16" x14ac:dyDescent="0.35">
      <c r="B63" s="340"/>
      <c r="P63" s="342"/>
    </row>
    <row r="64" spans="2:16" x14ac:dyDescent="0.35">
      <c r="B64" s="340"/>
      <c r="P64" s="342"/>
    </row>
    <row r="65" spans="2:16" x14ac:dyDescent="0.35">
      <c r="B65" s="340"/>
      <c r="P65" s="342"/>
    </row>
    <row r="66" spans="2:16" x14ac:dyDescent="0.35">
      <c r="B66" s="351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3"/>
    </row>
  </sheetData>
  <mergeCells count="20">
    <mergeCell ref="AV3:AX3"/>
    <mergeCell ref="AY3:BA3"/>
    <mergeCell ref="F4:L4"/>
    <mergeCell ref="U3:W3"/>
    <mergeCell ref="X3:Z3"/>
    <mergeCell ref="AA3:AC3"/>
    <mergeCell ref="AD3:AF3"/>
    <mergeCell ref="AG3:AI3"/>
    <mergeCell ref="AJ3:AL3"/>
    <mergeCell ref="O3:O4"/>
    <mergeCell ref="P3:P4"/>
    <mergeCell ref="Q3:Q4"/>
    <mergeCell ref="R3:R4"/>
    <mergeCell ref="S3:S4"/>
    <mergeCell ref="T3:T4"/>
    <mergeCell ref="E45:G45"/>
    <mergeCell ref="E49:G49"/>
    <mergeCell ref="AM3:AO3"/>
    <mergeCell ref="AP3:AR3"/>
    <mergeCell ref="AS3:AU3"/>
  </mergeCells>
  <pageMargins left="0.7" right="0.75" top="0.75" bottom="0.75" header="0.3" footer="0.3"/>
  <pageSetup paperSize="9" orientation="portrait" r:id="rId1"/>
  <headerFooter>
    <oddFooter>&amp;R&amp;"Palatino Linotype,Italic"&amp;10Management Improvement 2012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95D2-CD9B-4779-AA3C-B338A563C779}">
  <dimension ref="B2:P66"/>
  <sheetViews>
    <sheetView zoomScale="60" zoomScaleNormal="100" workbookViewId="0">
      <selection activeCell="B1" sqref="B1"/>
    </sheetView>
  </sheetViews>
  <sheetFormatPr defaultColWidth="8.90625" defaultRowHeight="14.5" x14ac:dyDescent="0.35"/>
  <cols>
    <col min="1" max="1" width="8.90625" style="8"/>
    <col min="2" max="2" width="5.90625" style="8" customWidth="1"/>
    <col min="3" max="3" width="17.81640625" style="8" bestFit="1" customWidth="1"/>
    <col min="4" max="4" width="29.81640625" style="8" bestFit="1" customWidth="1"/>
    <col min="5" max="5" width="12.81640625" style="8" bestFit="1" customWidth="1"/>
    <col min="6" max="6" width="12.6328125" style="8" customWidth="1"/>
    <col min="7" max="7" width="13.453125" style="8" customWidth="1"/>
    <col min="8" max="8" width="25.90625" style="8" customWidth="1"/>
    <col min="9" max="16384" width="8.90625" style="8"/>
  </cols>
  <sheetData>
    <row r="2" spans="2:16" x14ac:dyDescent="0.35">
      <c r="B2" s="1"/>
      <c r="C2" s="2"/>
      <c r="D2" s="2"/>
      <c r="E2" s="2"/>
      <c r="F2" s="2"/>
      <c r="G2" s="2"/>
      <c r="H2" s="379"/>
      <c r="I2" s="2"/>
      <c r="J2" s="2"/>
      <c r="K2" s="2"/>
      <c r="L2" s="2"/>
      <c r="M2" s="2"/>
      <c r="N2" s="2"/>
      <c r="O2" s="2"/>
      <c r="P2" s="3"/>
    </row>
    <row r="3" spans="2:16" ht="18.5" x14ac:dyDescent="0.45">
      <c r="B3" s="627" t="s">
        <v>111</v>
      </c>
      <c r="C3" s="628"/>
      <c r="D3" s="628"/>
      <c r="E3" s="628"/>
      <c r="F3" s="628"/>
      <c r="G3" s="628"/>
      <c r="H3" s="629"/>
      <c r="P3" s="9"/>
    </row>
    <row r="4" spans="2:16" ht="18.5" x14ac:dyDescent="0.45">
      <c r="B4" s="627" t="s">
        <v>4</v>
      </c>
      <c r="C4" s="628"/>
      <c r="D4" s="628"/>
      <c r="E4" s="628"/>
      <c r="F4" s="628"/>
      <c r="G4" s="628"/>
      <c r="H4" s="629"/>
      <c r="P4" s="9"/>
    </row>
    <row r="5" spans="2:16" x14ac:dyDescent="0.35">
      <c r="B5" s="7"/>
      <c r="H5" s="41"/>
      <c r="P5" s="9"/>
    </row>
    <row r="6" spans="2:16" x14ac:dyDescent="0.35">
      <c r="B6" s="7"/>
      <c r="H6" s="41"/>
      <c r="P6" s="9"/>
    </row>
    <row r="7" spans="2:16" ht="18" customHeight="1" x14ac:dyDescent="0.35">
      <c r="B7" s="630" t="s">
        <v>7</v>
      </c>
      <c r="C7" s="630" t="s">
        <v>0</v>
      </c>
      <c r="D7" s="630"/>
      <c r="E7" s="630"/>
      <c r="F7" s="630" t="s">
        <v>112</v>
      </c>
      <c r="G7" s="630"/>
      <c r="H7" s="631"/>
      <c r="P7" s="9"/>
    </row>
    <row r="8" spans="2:16" ht="18" customHeight="1" x14ac:dyDescent="0.35">
      <c r="B8" s="630"/>
      <c r="C8" s="630"/>
      <c r="D8" s="630"/>
      <c r="E8" s="630"/>
      <c r="F8" s="630"/>
      <c r="G8" s="630"/>
      <c r="H8" s="631"/>
      <c r="P8" s="9"/>
    </row>
    <row r="9" spans="2:16" s="37" customFormat="1" ht="30" customHeight="1" x14ac:dyDescent="0.35">
      <c r="B9" s="319"/>
      <c r="C9" s="619"/>
      <c r="D9" s="620"/>
      <c r="E9" s="621"/>
      <c r="F9" s="622"/>
      <c r="G9" s="623"/>
      <c r="H9" s="624"/>
      <c r="P9" s="39"/>
    </row>
    <row r="10" spans="2:16" s="37" customFormat="1" ht="30" customHeight="1" x14ac:dyDescent="0.35">
      <c r="B10" s="319"/>
      <c r="C10" s="619"/>
      <c r="D10" s="620"/>
      <c r="E10" s="621"/>
      <c r="F10" s="622"/>
      <c r="G10" s="623"/>
      <c r="H10" s="624"/>
      <c r="P10" s="39"/>
    </row>
    <row r="11" spans="2:16" s="37" customFormat="1" ht="30" customHeight="1" x14ac:dyDescent="0.35">
      <c r="B11" s="319"/>
      <c r="C11" s="619"/>
      <c r="D11" s="620"/>
      <c r="E11" s="621"/>
      <c r="F11" s="622"/>
      <c r="G11" s="623"/>
      <c r="H11" s="624"/>
      <c r="P11" s="39"/>
    </row>
    <row r="12" spans="2:16" s="37" customFormat="1" ht="30" customHeight="1" x14ac:dyDescent="0.35">
      <c r="B12" s="319"/>
      <c r="C12" s="619"/>
      <c r="D12" s="620"/>
      <c r="E12" s="621"/>
      <c r="F12" s="622"/>
      <c r="G12" s="623"/>
      <c r="H12" s="624"/>
      <c r="P12" s="39"/>
    </row>
    <row r="13" spans="2:16" s="37" customFormat="1" ht="30" customHeight="1" x14ac:dyDescent="0.35">
      <c r="B13" s="319"/>
      <c r="C13" s="619"/>
      <c r="D13" s="620"/>
      <c r="E13" s="621"/>
      <c r="F13" s="622"/>
      <c r="G13" s="623"/>
      <c r="H13" s="624"/>
      <c r="P13" s="39"/>
    </row>
    <row r="14" spans="2:16" s="37" customFormat="1" ht="30" customHeight="1" x14ac:dyDescent="0.35">
      <c r="B14" s="319"/>
      <c r="C14" s="619"/>
      <c r="D14" s="620"/>
      <c r="E14" s="621"/>
      <c r="F14" s="622"/>
      <c r="G14" s="623"/>
      <c r="H14" s="624"/>
      <c r="P14" s="39"/>
    </row>
    <row r="15" spans="2:16" x14ac:dyDescent="0.35">
      <c r="B15" s="7"/>
      <c r="H15" s="41"/>
      <c r="P15" s="9"/>
    </row>
    <row r="16" spans="2:16" x14ac:dyDescent="0.35">
      <c r="B16" s="7" t="s">
        <v>104</v>
      </c>
      <c r="H16" s="41"/>
      <c r="P16" s="9"/>
    </row>
    <row r="17" spans="2:16" x14ac:dyDescent="0.35">
      <c r="B17" s="7"/>
      <c r="H17" s="41"/>
      <c r="P17" s="9"/>
    </row>
    <row r="18" spans="2:16" x14ac:dyDescent="0.35">
      <c r="B18" s="625" t="s">
        <v>2</v>
      </c>
      <c r="C18" s="626"/>
      <c r="D18" s="4" t="s">
        <v>1</v>
      </c>
      <c r="H18" s="41"/>
      <c r="P18" s="9"/>
    </row>
    <row r="19" spans="2:16" x14ac:dyDescent="0.35">
      <c r="B19" s="1"/>
      <c r="C19" s="3"/>
      <c r="D19" s="3"/>
      <c r="H19" s="41"/>
      <c r="P19" s="9"/>
    </row>
    <row r="20" spans="2:16" x14ac:dyDescent="0.35">
      <c r="B20" s="7"/>
      <c r="C20" s="9"/>
      <c r="D20" s="9"/>
      <c r="H20" s="41"/>
      <c r="P20" s="9"/>
    </row>
    <row r="21" spans="2:16" x14ac:dyDescent="0.35">
      <c r="B21" s="7"/>
      <c r="C21" s="9"/>
      <c r="D21" s="9"/>
      <c r="H21" s="41"/>
      <c r="P21" s="9"/>
    </row>
    <row r="22" spans="2:16" x14ac:dyDescent="0.35">
      <c r="B22" s="10"/>
      <c r="C22" s="12"/>
      <c r="D22" s="12"/>
      <c r="H22" s="41"/>
      <c r="P22" s="9"/>
    </row>
    <row r="23" spans="2:16" x14ac:dyDescent="0.35">
      <c r="B23" s="5" t="s">
        <v>105</v>
      </c>
      <c r="C23" s="6"/>
      <c r="D23" s="6" t="s">
        <v>105</v>
      </c>
      <c r="H23" s="41"/>
      <c r="P23" s="9"/>
    </row>
    <row r="24" spans="2:16" x14ac:dyDescent="0.35">
      <c r="B24" s="5" t="s">
        <v>38</v>
      </c>
      <c r="C24" s="6"/>
      <c r="D24" s="6" t="s">
        <v>38</v>
      </c>
      <c r="H24" s="41"/>
      <c r="P24" s="9"/>
    </row>
    <row r="25" spans="2:16" ht="15" thickBot="1" x14ac:dyDescent="0.4">
      <c r="B25" s="380"/>
      <c r="C25" s="42"/>
      <c r="D25" s="42"/>
      <c r="E25" s="42"/>
      <c r="F25" s="42"/>
      <c r="G25" s="42"/>
      <c r="H25" s="43"/>
      <c r="P25" s="9"/>
    </row>
    <row r="26" spans="2:16" x14ac:dyDescent="0.35">
      <c r="B26" s="7"/>
      <c r="P26" s="9"/>
    </row>
    <row r="27" spans="2:16" x14ac:dyDescent="0.35">
      <c r="B27" s="7"/>
      <c r="P27" s="9"/>
    </row>
    <row r="28" spans="2:16" x14ac:dyDescent="0.35">
      <c r="B28" s="7"/>
      <c r="P28" s="9"/>
    </row>
    <row r="29" spans="2:16" x14ac:dyDescent="0.35">
      <c r="B29" s="7"/>
      <c r="P29" s="9"/>
    </row>
    <row r="30" spans="2:16" x14ac:dyDescent="0.35">
      <c r="B30" s="7"/>
      <c r="P30" s="9"/>
    </row>
    <row r="31" spans="2:16" x14ac:dyDescent="0.35">
      <c r="B31" s="7"/>
      <c r="P31" s="9"/>
    </row>
    <row r="32" spans="2:16" x14ac:dyDescent="0.35">
      <c r="B32" s="7"/>
      <c r="P32" s="9"/>
    </row>
    <row r="33" spans="2:16" x14ac:dyDescent="0.35">
      <c r="B33" s="7"/>
      <c r="P33" s="9"/>
    </row>
    <row r="34" spans="2:16" x14ac:dyDescent="0.35">
      <c r="B34" s="7"/>
      <c r="P34" s="9"/>
    </row>
    <row r="35" spans="2:16" x14ac:dyDescent="0.35">
      <c r="B35" s="7"/>
      <c r="P35" s="9"/>
    </row>
    <row r="36" spans="2:16" x14ac:dyDescent="0.35">
      <c r="B36" s="7"/>
      <c r="P36" s="9"/>
    </row>
    <row r="37" spans="2:16" x14ac:dyDescent="0.35">
      <c r="B37" s="7"/>
      <c r="P37" s="9"/>
    </row>
    <row r="38" spans="2:16" x14ac:dyDescent="0.35">
      <c r="B38" s="7"/>
      <c r="P38" s="9"/>
    </row>
    <row r="39" spans="2:16" x14ac:dyDescent="0.35">
      <c r="B39" s="7"/>
      <c r="P39" s="9"/>
    </row>
    <row r="40" spans="2:16" x14ac:dyDescent="0.35">
      <c r="B40" s="7"/>
      <c r="P40" s="9"/>
    </row>
    <row r="41" spans="2:16" x14ac:dyDescent="0.35">
      <c r="B41" s="7"/>
      <c r="P41" s="9"/>
    </row>
    <row r="42" spans="2:16" x14ac:dyDescent="0.35">
      <c r="B42" s="7"/>
      <c r="P42" s="9"/>
    </row>
    <row r="43" spans="2:16" x14ac:dyDescent="0.35">
      <c r="B43" s="7"/>
      <c r="P43" s="9"/>
    </row>
    <row r="44" spans="2:16" x14ac:dyDescent="0.35">
      <c r="B44" s="7"/>
      <c r="P44" s="9"/>
    </row>
    <row r="45" spans="2:16" x14ac:dyDescent="0.35">
      <c r="B45" s="7"/>
      <c r="P45" s="9"/>
    </row>
    <row r="46" spans="2:16" x14ac:dyDescent="0.35">
      <c r="B46" s="7"/>
      <c r="P46" s="9"/>
    </row>
    <row r="47" spans="2:16" x14ac:dyDescent="0.35">
      <c r="B47" s="7"/>
      <c r="P47" s="9"/>
    </row>
    <row r="48" spans="2:16" x14ac:dyDescent="0.35">
      <c r="B48" s="7"/>
      <c r="P48" s="9"/>
    </row>
    <row r="49" spans="2:16" x14ac:dyDescent="0.35">
      <c r="B49" s="7"/>
      <c r="P49" s="9"/>
    </row>
    <row r="50" spans="2:16" x14ac:dyDescent="0.35">
      <c r="B50" s="7"/>
      <c r="P50" s="9"/>
    </row>
    <row r="51" spans="2:16" x14ac:dyDescent="0.35">
      <c r="B51" s="7"/>
      <c r="P51" s="9"/>
    </row>
    <row r="52" spans="2:16" x14ac:dyDescent="0.35">
      <c r="B52" s="7"/>
      <c r="P52" s="9"/>
    </row>
    <row r="53" spans="2:16" x14ac:dyDescent="0.35">
      <c r="B53" s="7"/>
      <c r="P53" s="9"/>
    </row>
    <row r="54" spans="2:16" x14ac:dyDescent="0.35">
      <c r="B54" s="7"/>
      <c r="P54" s="9"/>
    </row>
    <row r="55" spans="2:16" x14ac:dyDescent="0.35">
      <c r="B55" s="7"/>
      <c r="P55" s="9"/>
    </row>
    <row r="56" spans="2:16" x14ac:dyDescent="0.35">
      <c r="B56" s="7"/>
      <c r="P56" s="9"/>
    </row>
    <row r="57" spans="2:16" x14ac:dyDescent="0.35">
      <c r="B57" s="7"/>
      <c r="P57" s="9"/>
    </row>
    <row r="58" spans="2:16" x14ac:dyDescent="0.35">
      <c r="B58" s="7"/>
      <c r="P58" s="9"/>
    </row>
    <row r="59" spans="2:16" x14ac:dyDescent="0.35">
      <c r="B59" s="7"/>
      <c r="P59" s="9"/>
    </row>
    <row r="60" spans="2:16" x14ac:dyDescent="0.35">
      <c r="B60" s="7"/>
      <c r="P60" s="9"/>
    </row>
    <row r="61" spans="2:16" x14ac:dyDescent="0.35">
      <c r="B61" s="7"/>
      <c r="P61" s="9"/>
    </row>
    <row r="62" spans="2:16" x14ac:dyDescent="0.35">
      <c r="B62" s="7"/>
      <c r="P62" s="9"/>
    </row>
    <row r="63" spans="2:16" x14ac:dyDescent="0.35">
      <c r="B63" s="7"/>
      <c r="P63" s="9"/>
    </row>
    <row r="64" spans="2:16" x14ac:dyDescent="0.35">
      <c r="B64" s="7"/>
      <c r="P64" s="9"/>
    </row>
    <row r="65" spans="2:16" x14ac:dyDescent="0.35">
      <c r="B65" s="7"/>
      <c r="P65" s="9"/>
    </row>
    <row r="66" spans="2:16" x14ac:dyDescent="0.35"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</sheetData>
  <mergeCells count="18">
    <mergeCell ref="C9:E9"/>
    <mergeCell ref="F9:H9"/>
    <mergeCell ref="B3:H3"/>
    <mergeCell ref="B4:H4"/>
    <mergeCell ref="B7:B8"/>
    <mergeCell ref="C7:E8"/>
    <mergeCell ref="F7:H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B18:C18"/>
  </mergeCells>
  <pageMargins left="0.7" right="0.7" top="0.75" bottom="0.7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CEB-3589-4E7A-B5BD-76315E2C7475}">
  <sheetPr>
    <pageSetUpPr fitToPage="1"/>
  </sheetPr>
  <dimension ref="B2:T292"/>
  <sheetViews>
    <sheetView showGridLines="0" zoomScale="55" zoomScaleNormal="80" workbookViewId="0">
      <selection activeCell="B1" sqref="B1:T18"/>
    </sheetView>
  </sheetViews>
  <sheetFormatPr defaultColWidth="9.08984375" defaultRowHeight="13.5" x14ac:dyDescent="0.35"/>
  <cols>
    <col min="1" max="1" width="9.08984375" style="46"/>
    <col min="2" max="2" width="4.453125" style="46" customWidth="1"/>
    <col min="3" max="3" width="2.36328125" style="45" customWidth="1"/>
    <col min="4" max="4" width="8.36328125" style="46" customWidth="1"/>
    <col min="5" max="5" width="20.90625" style="46" customWidth="1"/>
    <col min="6" max="6" width="2.36328125" style="46" customWidth="1"/>
    <col min="7" max="7" width="4.36328125" style="46" customWidth="1"/>
    <col min="8" max="8" width="26.453125" style="46" customWidth="1"/>
    <col min="9" max="10" width="17.6328125" style="46" customWidth="1"/>
    <col min="11" max="11" width="10.453125" style="46" customWidth="1"/>
    <col min="12" max="12" width="17.453125" style="46" customWidth="1"/>
    <col min="13" max="14" width="7.6328125" style="46" customWidth="1"/>
    <col min="15" max="15" width="5.08984375" style="46" customWidth="1"/>
    <col min="16" max="16" width="12.453125" style="46" customWidth="1"/>
    <col min="17" max="17" width="9.08984375" style="46"/>
    <col min="18" max="19" width="0" style="46" hidden="1" customWidth="1"/>
    <col min="20" max="16384" width="9.08984375" style="46"/>
  </cols>
  <sheetData>
    <row r="2" spans="2:20" x14ac:dyDescent="0.35">
      <c r="B2" s="320"/>
      <c r="C2" s="321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3"/>
    </row>
    <row r="3" spans="2:20" ht="19" x14ac:dyDescent="0.4">
      <c r="B3" s="324"/>
      <c r="H3" s="414" t="s">
        <v>125</v>
      </c>
      <c r="I3" s="414"/>
      <c r="J3" s="414"/>
      <c r="K3" s="414"/>
      <c r="L3" s="414"/>
      <c r="M3" s="414"/>
      <c r="N3" s="414"/>
      <c r="P3" s="325"/>
    </row>
    <row r="4" spans="2:20" x14ac:dyDescent="0.35">
      <c r="B4" s="324"/>
      <c r="P4" s="325"/>
    </row>
    <row r="5" spans="2:20" x14ac:dyDescent="0.35">
      <c r="B5" s="324"/>
      <c r="P5" s="325"/>
    </row>
    <row r="6" spans="2:20" ht="21" customHeight="1" x14ac:dyDescent="0.25">
      <c r="B6" s="636" t="s">
        <v>114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8"/>
      <c r="T6" s="18"/>
    </row>
    <row r="7" spans="2:20" s="58" customFormat="1" ht="16.5" customHeight="1" x14ac:dyDescent="0.25">
      <c r="B7" s="55" t="s">
        <v>7</v>
      </c>
      <c r="C7" s="639" t="s">
        <v>115</v>
      </c>
      <c r="D7" s="640"/>
      <c r="E7" s="640"/>
      <c r="F7" s="640"/>
      <c r="G7" s="640"/>
      <c r="H7" s="640"/>
      <c r="I7" s="57"/>
      <c r="J7" s="640"/>
      <c r="K7" s="641"/>
      <c r="L7" s="56" t="s">
        <v>11</v>
      </c>
      <c r="M7" s="642" t="s">
        <v>116</v>
      </c>
      <c r="N7" s="643"/>
      <c r="O7" s="639" t="s">
        <v>117</v>
      </c>
      <c r="P7" s="641"/>
      <c r="T7" s="59"/>
    </row>
    <row r="8" spans="2:20" s="58" customFormat="1" ht="4.5" customHeight="1" x14ac:dyDescent="0.25">
      <c r="B8" s="61"/>
      <c r="C8" s="326"/>
      <c r="D8" s="60"/>
      <c r="E8" s="60"/>
      <c r="F8" s="60"/>
      <c r="G8" s="60"/>
      <c r="H8" s="60"/>
      <c r="I8" s="60"/>
      <c r="J8" s="60"/>
      <c r="K8" s="60"/>
      <c r="L8" s="60"/>
      <c r="M8" s="61"/>
      <c r="N8" s="62"/>
      <c r="O8" s="60"/>
      <c r="P8" s="62"/>
      <c r="T8" s="59"/>
    </row>
    <row r="9" spans="2:20" s="73" customFormat="1" x14ac:dyDescent="0.3">
      <c r="B9" s="63"/>
      <c r="C9" s="64"/>
      <c r="D9" s="65"/>
      <c r="E9" s="66"/>
      <c r="F9" s="66"/>
      <c r="G9" s="66"/>
      <c r="H9" s="66"/>
      <c r="I9" s="66"/>
      <c r="J9" s="66"/>
      <c r="K9" s="67"/>
      <c r="L9" s="68"/>
      <c r="M9" s="69"/>
      <c r="N9" s="70"/>
      <c r="O9" s="71"/>
      <c r="P9" s="72"/>
      <c r="R9" s="73" t="s">
        <v>118</v>
      </c>
      <c r="T9" s="74"/>
    </row>
    <row r="10" spans="2:20" s="58" customFormat="1" x14ac:dyDescent="0.25">
      <c r="B10" s="75"/>
      <c r="C10" s="76"/>
      <c r="D10" s="327"/>
      <c r="E10" s="60"/>
      <c r="F10" s="60"/>
      <c r="G10" s="60"/>
      <c r="H10" s="60"/>
      <c r="I10" s="60"/>
      <c r="J10" s="60"/>
      <c r="K10" s="62"/>
      <c r="L10" s="77"/>
      <c r="M10" s="633"/>
      <c r="N10" s="634"/>
      <c r="O10" s="328"/>
      <c r="P10" s="78"/>
      <c r="R10" s="46"/>
      <c r="S10" s="79"/>
      <c r="T10" s="59"/>
    </row>
    <row r="11" spans="2:20" s="58" customFormat="1" x14ac:dyDescent="0.25">
      <c r="B11" s="75"/>
      <c r="C11" s="80"/>
      <c r="D11" s="60"/>
      <c r="E11" s="60"/>
      <c r="F11" s="60"/>
      <c r="G11" s="60"/>
      <c r="H11" s="60"/>
      <c r="I11" s="60"/>
      <c r="J11" s="60"/>
      <c r="K11" s="62"/>
      <c r="L11" s="77"/>
      <c r="M11" s="635"/>
      <c r="N11" s="634"/>
      <c r="O11" s="328"/>
      <c r="P11" s="78"/>
      <c r="S11" s="81"/>
      <c r="T11" s="59"/>
    </row>
    <row r="12" spans="2:20" s="58" customFormat="1" x14ac:dyDescent="0.25">
      <c r="B12" s="75"/>
      <c r="C12" s="82"/>
      <c r="D12" s="329"/>
      <c r="E12" s="60"/>
      <c r="F12" s="60"/>
      <c r="G12" s="60"/>
      <c r="H12" s="60"/>
      <c r="I12" s="60"/>
      <c r="J12" s="60"/>
      <c r="K12" s="62"/>
      <c r="L12" s="77"/>
      <c r="M12" s="83"/>
      <c r="N12" s="84"/>
      <c r="O12" s="328"/>
      <c r="P12" s="78"/>
      <c r="S12" s="85"/>
      <c r="T12" s="59"/>
    </row>
    <row r="13" spans="2:20" s="58" customFormat="1" x14ac:dyDescent="0.25">
      <c r="B13" s="75"/>
      <c r="C13" s="82"/>
      <c r="D13" s="60"/>
      <c r="E13" s="327"/>
      <c r="F13" s="327"/>
      <c r="G13" s="327"/>
      <c r="H13" s="327"/>
      <c r="I13" s="327"/>
      <c r="J13" s="327"/>
      <c r="K13" s="62"/>
      <c r="L13" s="77"/>
      <c r="M13" s="83"/>
      <c r="N13" s="86"/>
      <c r="O13" s="330"/>
      <c r="P13" s="87"/>
      <c r="T13" s="59"/>
    </row>
    <row r="14" spans="2:20" s="58" customFormat="1" x14ac:dyDescent="0.25">
      <c r="B14" s="75"/>
      <c r="C14" s="80"/>
      <c r="D14" s="327"/>
      <c r="E14" s="327"/>
      <c r="F14" s="327"/>
      <c r="G14" s="327"/>
      <c r="H14" s="327"/>
      <c r="I14" s="327"/>
      <c r="J14" s="327"/>
      <c r="K14" s="62"/>
      <c r="L14" s="77"/>
      <c r="M14" s="83"/>
      <c r="N14" s="86"/>
      <c r="O14" s="330"/>
      <c r="P14" s="87"/>
      <c r="T14" s="59"/>
    </row>
    <row r="15" spans="2:20" s="58" customFormat="1" x14ac:dyDescent="0.25">
      <c r="B15" s="75"/>
      <c r="C15" s="80"/>
      <c r="D15" s="327"/>
      <c r="E15" s="327"/>
      <c r="F15" s="327"/>
      <c r="G15" s="327"/>
      <c r="H15" s="327"/>
      <c r="I15" s="327"/>
      <c r="J15" s="327"/>
      <c r="K15" s="62"/>
      <c r="L15" s="77"/>
      <c r="M15" s="83"/>
      <c r="N15" s="86"/>
      <c r="O15" s="330"/>
      <c r="P15" s="87"/>
      <c r="T15" s="59"/>
    </row>
    <row r="16" spans="2:20" s="58" customFormat="1" x14ac:dyDescent="0.25">
      <c r="B16" s="75"/>
      <c r="C16" s="80"/>
      <c r="D16" s="327"/>
      <c r="E16" s="327"/>
      <c r="F16" s="327"/>
      <c r="G16" s="327"/>
      <c r="H16" s="327"/>
      <c r="I16" s="327"/>
      <c r="J16" s="327"/>
      <c r="K16" s="62"/>
      <c r="L16" s="77"/>
      <c r="M16" s="83"/>
      <c r="N16" s="86"/>
      <c r="O16" s="330"/>
      <c r="P16" s="87"/>
      <c r="T16" s="59"/>
    </row>
    <row r="17" spans="2:20" s="58" customFormat="1" x14ac:dyDescent="0.25">
      <c r="B17" s="75"/>
      <c r="C17" s="80"/>
      <c r="D17" s="327"/>
      <c r="E17" s="327"/>
      <c r="F17" s="327"/>
      <c r="G17" s="327"/>
      <c r="H17" s="327"/>
      <c r="I17" s="327"/>
      <c r="J17" s="327"/>
      <c r="K17" s="62"/>
      <c r="L17" s="77"/>
      <c r="M17" s="83"/>
      <c r="N17" s="86"/>
      <c r="O17" s="330"/>
      <c r="P17" s="87"/>
      <c r="T17" s="59"/>
    </row>
    <row r="18" spans="2:20" s="58" customFormat="1" x14ac:dyDescent="0.25">
      <c r="B18" s="75"/>
      <c r="C18" s="80"/>
      <c r="D18" s="327"/>
      <c r="E18" s="327"/>
      <c r="F18" s="327"/>
      <c r="G18" s="327"/>
      <c r="H18" s="327"/>
      <c r="I18" s="327"/>
      <c r="J18" s="327"/>
      <c r="K18" s="62"/>
      <c r="L18" s="77"/>
      <c r="M18" s="83"/>
      <c r="N18" s="86"/>
      <c r="O18" s="330"/>
      <c r="P18" s="87"/>
      <c r="T18" s="59"/>
    </row>
    <row r="19" spans="2:20" s="58" customFormat="1" x14ac:dyDescent="0.25">
      <c r="B19" s="75"/>
      <c r="C19" s="80"/>
      <c r="D19" s="327"/>
      <c r="E19" s="327"/>
      <c r="F19" s="327"/>
      <c r="G19" s="327"/>
      <c r="H19" s="327"/>
      <c r="I19" s="327"/>
      <c r="J19" s="327"/>
      <c r="K19" s="62"/>
      <c r="L19" s="77"/>
      <c r="M19" s="83"/>
      <c r="N19" s="86"/>
      <c r="O19" s="330"/>
      <c r="P19" s="87"/>
      <c r="T19" s="59"/>
    </row>
    <row r="20" spans="2:20" s="58" customFormat="1" x14ac:dyDescent="0.25">
      <c r="B20" s="75"/>
      <c r="C20" s="80"/>
      <c r="D20" s="327"/>
      <c r="E20" s="327"/>
      <c r="F20" s="327"/>
      <c r="G20" s="327"/>
      <c r="H20" s="327"/>
      <c r="I20" s="327"/>
      <c r="J20" s="327"/>
      <c r="K20" s="62"/>
      <c r="L20" s="77"/>
      <c r="M20" s="83"/>
      <c r="N20" s="86"/>
      <c r="O20" s="330"/>
      <c r="P20" s="87"/>
      <c r="T20" s="59"/>
    </row>
    <row r="21" spans="2:20" s="58" customFormat="1" x14ac:dyDescent="0.25">
      <c r="B21" s="75"/>
      <c r="C21" s="80"/>
      <c r="D21" s="327"/>
      <c r="E21" s="327"/>
      <c r="F21" s="327"/>
      <c r="G21" s="327"/>
      <c r="H21" s="327"/>
      <c r="I21" s="327"/>
      <c r="J21" s="327"/>
      <c r="K21" s="62"/>
      <c r="L21" s="77"/>
      <c r="M21" s="83"/>
      <c r="N21" s="86"/>
      <c r="O21" s="330"/>
      <c r="P21" s="87"/>
      <c r="T21" s="59"/>
    </row>
    <row r="22" spans="2:20" s="58" customFormat="1" x14ac:dyDescent="0.25">
      <c r="B22" s="75"/>
      <c r="C22" s="80"/>
      <c r="D22" s="327"/>
      <c r="E22" s="327"/>
      <c r="F22" s="327"/>
      <c r="G22" s="327"/>
      <c r="H22" s="327"/>
      <c r="I22" s="327"/>
      <c r="J22" s="327"/>
      <c r="K22" s="62"/>
      <c r="L22" s="77"/>
      <c r="M22" s="83"/>
      <c r="N22" s="86"/>
      <c r="O22" s="330"/>
      <c r="P22" s="87"/>
      <c r="T22" s="59"/>
    </row>
    <row r="23" spans="2:20" s="58" customFormat="1" x14ac:dyDescent="0.25">
      <c r="B23" s="75"/>
      <c r="C23" s="80"/>
      <c r="D23" s="327"/>
      <c r="E23" s="327"/>
      <c r="F23" s="327"/>
      <c r="G23" s="327"/>
      <c r="H23" s="327"/>
      <c r="I23" s="327"/>
      <c r="J23" s="327"/>
      <c r="K23" s="62"/>
      <c r="L23" s="77"/>
      <c r="M23" s="83"/>
      <c r="N23" s="86"/>
      <c r="O23" s="330"/>
      <c r="P23" s="87"/>
      <c r="T23" s="59"/>
    </row>
    <row r="24" spans="2:20" s="58" customFormat="1" x14ac:dyDescent="0.25">
      <c r="B24" s="75"/>
      <c r="C24" s="80"/>
      <c r="D24" s="327"/>
      <c r="E24" s="327"/>
      <c r="F24" s="327"/>
      <c r="G24" s="327"/>
      <c r="H24" s="327"/>
      <c r="I24" s="327"/>
      <c r="J24" s="327"/>
      <c r="K24" s="62"/>
      <c r="L24" s="77"/>
      <c r="M24" s="83"/>
      <c r="N24" s="86"/>
      <c r="O24" s="330"/>
      <c r="P24" s="87"/>
      <c r="T24" s="59"/>
    </row>
    <row r="25" spans="2:20" s="58" customFormat="1" x14ac:dyDescent="0.25">
      <c r="B25" s="75"/>
      <c r="C25" s="80"/>
      <c r="D25" s="327"/>
      <c r="E25" s="327"/>
      <c r="F25" s="327"/>
      <c r="G25" s="327"/>
      <c r="H25" s="327"/>
      <c r="I25" s="327"/>
      <c r="J25" s="327"/>
      <c r="K25" s="62"/>
      <c r="L25" s="77"/>
      <c r="M25" s="83"/>
      <c r="N25" s="86"/>
      <c r="O25" s="330"/>
      <c r="P25" s="87"/>
      <c r="T25" s="59"/>
    </row>
    <row r="26" spans="2:20" s="58" customFormat="1" x14ac:dyDescent="0.25">
      <c r="B26" s="75"/>
      <c r="C26" s="80"/>
      <c r="D26" s="327"/>
      <c r="E26" s="327"/>
      <c r="F26" s="327"/>
      <c r="G26" s="327"/>
      <c r="H26" s="327"/>
      <c r="I26" s="327"/>
      <c r="J26" s="327"/>
      <c r="K26" s="62"/>
      <c r="L26" s="77"/>
      <c r="M26" s="83"/>
      <c r="N26" s="86"/>
      <c r="O26" s="330"/>
      <c r="P26" s="87"/>
      <c r="T26" s="59"/>
    </row>
    <row r="27" spans="2:20" s="58" customFormat="1" x14ac:dyDescent="0.25">
      <c r="B27" s="75"/>
      <c r="C27" s="80"/>
      <c r="D27" s="327"/>
      <c r="E27" s="327"/>
      <c r="F27" s="327"/>
      <c r="G27" s="327"/>
      <c r="H27" s="327"/>
      <c r="I27" s="327"/>
      <c r="J27" s="327"/>
      <c r="K27" s="62"/>
      <c r="L27" s="77"/>
      <c r="M27" s="83"/>
      <c r="N27" s="86"/>
      <c r="O27" s="330"/>
      <c r="P27" s="87"/>
      <c r="T27" s="59"/>
    </row>
    <row r="28" spans="2:20" s="58" customFormat="1" x14ac:dyDescent="0.25">
      <c r="B28" s="75"/>
      <c r="C28" s="80"/>
      <c r="D28" s="327"/>
      <c r="E28" s="327"/>
      <c r="F28" s="327"/>
      <c r="G28" s="327"/>
      <c r="H28" s="327"/>
      <c r="I28" s="327"/>
      <c r="J28" s="327"/>
      <c r="K28" s="62"/>
      <c r="L28" s="77"/>
      <c r="M28" s="83"/>
      <c r="N28" s="86"/>
      <c r="O28" s="330"/>
      <c r="P28" s="87"/>
      <c r="T28" s="59"/>
    </row>
    <row r="29" spans="2:20" s="58" customFormat="1" x14ac:dyDescent="0.25">
      <c r="B29" s="75"/>
      <c r="C29" s="80"/>
      <c r="D29" s="327"/>
      <c r="E29" s="327"/>
      <c r="F29" s="327"/>
      <c r="G29" s="327"/>
      <c r="H29" s="327"/>
      <c r="I29" s="327"/>
      <c r="J29" s="327"/>
      <c r="K29" s="62"/>
      <c r="L29" s="77"/>
      <c r="M29" s="83"/>
      <c r="N29" s="86"/>
      <c r="O29" s="330"/>
      <c r="P29" s="87"/>
      <c r="T29" s="59"/>
    </row>
    <row r="30" spans="2:20" s="58" customFormat="1" x14ac:dyDescent="0.25">
      <c r="B30" s="75"/>
      <c r="C30" s="80"/>
      <c r="D30" s="327"/>
      <c r="E30" s="327"/>
      <c r="F30" s="327"/>
      <c r="G30" s="327"/>
      <c r="H30" s="327"/>
      <c r="I30" s="327"/>
      <c r="J30" s="327"/>
      <c r="K30" s="62"/>
      <c r="L30" s="77"/>
      <c r="M30" s="83"/>
      <c r="N30" s="86"/>
      <c r="O30" s="330"/>
      <c r="P30" s="87"/>
      <c r="T30" s="59"/>
    </row>
    <row r="31" spans="2:20" s="58" customFormat="1" x14ac:dyDescent="0.25">
      <c r="B31" s="75"/>
      <c r="C31" s="80"/>
      <c r="D31" s="327"/>
      <c r="E31" s="327"/>
      <c r="F31" s="327"/>
      <c r="G31" s="327"/>
      <c r="H31" s="327"/>
      <c r="I31" s="327"/>
      <c r="J31" s="327"/>
      <c r="K31" s="62"/>
      <c r="L31" s="77"/>
      <c r="M31" s="83"/>
      <c r="N31" s="86"/>
      <c r="O31" s="330"/>
      <c r="P31" s="87"/>
      <c r="T31" s="59"/>
    </row>
    <row r="32" spans="2:20" s="58" customFormat="1" x14ac:dyDescent="0.25">
      <c r="B32" s="75"/>
      <c r="C32" s="80"/>
      <c r="D32" s="327"/>
      <c r="E32" s="327"/>
      <c r="F32" s="327"/>
      <c r="G32" s="327"/>
      <c r="H32" s="327"/>
      <c r="I32" s="327"/>
      <c r="J32" s="327"/>
      <c r="K32" s="62"/>
      <c r="L32" s="77"/>
      <c r="M32" s="83"/>
      <c r="N32" s="86"/>
      <c r="O32" s="330"/>
      <c r="P32" s="87"/>
      <c r="T32" s="59"/>
    </row>
    <row r="33" spans="2:20" s="58" customFormat="1" x14ac:dyDescent="0.25">
      <c r="B33" s="75"/>
      <c r="C33" s="80"/>
      <c r="D33" s="327"/>
      <c r="E33" s="327"/>
      <c r="F33" s="327"/>
      <c r="G33" s="327"/>
      <c r="H33" s="327"/>
      <c r="I33" s="327"/>
      <c r="J33" s="327"/>
      <c r="K33" s="62"/>
      <c r="L33" s="77"/>
      <c r="M33" s="83"/>
      <c r="N33" s="86"/>
      <c r="O33" s="330"/>
      <c r="P33" s="87"/>
      <c r="T33" s="59"/>
    </row>
    <row r="34" spans="2:20" s="58" customFormat="1" x14ac:dyDescent="0.25">
      <c r="B34" s="75"/>
      <c r="C34" s="80"/>
      <c r="D34" s="327"/>
      <c r="E34" s="327"/>
      <c r="F34" s="327"/>
      <c r="G34" s="327"/>
      <c r="H34" s="327"/>
      <c r="I34" s="327"/>
      <c r="J34" s="327"/>
      <c r="K34" s="62"/>
      <c r="L34" s="77"/>
      <c r="M34" s="83"/>
      <c r="N34" s="86"/>
      <c r="O34" s="330"/>
      <c r="P34" s="87"/>
      <c r="T34" s="59"/>
    </row>
    <row r="35" spans="2:20" s="58" customFormat="1" x14ac:dyDescent="0.25">
      <c r="B35" s="75"/>
      <c r="C35" s="80"/>
      <c r="D35" s="327"/>
      <c r="E35" s="327"/>
      <c r="F35" s="327"/>
      <c r="G35" s="327"/>
      <c r="H35" s="327"/>
      <c r="I35" s="327"/>
      <c r="J35" s="327"/>
      <c r="K35" s="62"/>
      <c r="L35" s="77"/>
      <c r="M35" s="83"/>
      <c r="N35" s="86"/>
      <c r="O35" s="330"/>
      <c r="P35" s="87"/>
      <c r="T35" s="59"/>
    </row>
    <row r="36" spans="2:20" s="58" customFormat="1" x14ac:dyDescent="0.25">
      <c r="B36" s="75"/>
      <c r="C36" s="80"/>
      <c r="D36" s="327"/>
      <c r="E36" s="327"/>
      <c r="F36" s="327"/>
      <c r="G36" s="327"/>
      <c r="H36" s="327"/>
      <c r="I36" s="327"/>
      <c r="J36" s="327"/>
      <c r="K36" s="62"/>
      <c r="L36" s="77"/>
      <c r="M36" s="83"/>
      <c r="N36" s="86"/>
      <c r="O36" s="330"/>
      <c r="P36" s="87"/>
      <c r="T36" s="59"/>
    </row>
    <row r="37" spans="2:20" s="58" customFormat="1" x14ac:dyDescent="0.25">
      <c r="B37" s="75"/>
      <c r="C37" s="80"/>
      <c r="D37" s="331"/>
      <c r="E37" s="327"/>
      <c r="F37" s="327"/>
      <c r="G37" s="327"/>
      <c r="H37" s="327"/>
      <c r="I37" s="327"/>
      <c r="J37" s="327"/>
      <c r="K37" s="62"/>
      <c r="L37" s="77"/>
      <c r="M37" s="83"/>
      <c r="N37" s="86"/>
      <c r="O37" s="330"/>
      <c r="P37" s="87"/>
      <c r="T37" s="59"/>
    </row>
    <row r="38" spans="2:20" s="58" customFormat="1" x14ac:dyDescent="0.25">
      <c r="B38" s="75"/>
      <c r="C38" s="80"/>
      <c r="D38" s="327"/>
      <c r="E38" s="327"/>
      <c r="F38" s="327"/>
      <c r="G38" s="327"/>
      <c r="H38" s="327"/>
      <c r="I38" s="327"/>
      <c r="J38" s="327"/>
      <c r="K38" s="62"/>
      <c r="L38" s="77"/>
      <c r="M38" s="83"/>
      <c r="N38" s="86"/>
      <c r="O38" s="330"/>
      <c r="P38" s="87"/>
      <c r="T38" s="59"/>
    </row>
    <row r="39" spans="2:20" s="58" customFormat="1" x14ac:dyDescent="0.25">
      <c r="B39" s="75"/>
      <c r="C39" s="80"/>
      <c r="D39" s="327"/>
      <c r="E39" s="327"/>
      <c r="F39" s="327"/>
      <c r="G39" s="327"/>
      <c r="H39" s="327"/>
      <c r="I39" s="327"/>
      <c r="J39" s="327"/>
      <c r="K39" s="62"/>
      <c r="L39" s="77"/>
      <c r="M39" s="83"/>
      <c r="N39" s="86"/>
      <c r="O39" s="330"/>
      <c r="P39" s="87"/>
      <c r="T39" s="59"/>
    </row>
    <row r="40" spans="2:20" s="58" customFormat="1" x14ac:dyDescent="0.25">
      <c r="B40" s="75"/>
      <c r="C40" s="80"/>
      <c r="D40" s="327"/>
      <c r="E40" s="327"/>
      <c r="F40" s="327"/>
      <c r="G40" s="327"/>
      <c r="H40" s="327"/>
      <c r="I40" s="327"/>
      <c r="J40" s="327"/>
      <c r="K40" s="62"/>
      <c r="L40" s="77"/>
      <c r="M40" s="83"/>
      <c r="N40" s="86"/>
      <c r="O40" s="330"/>
      <c r="P40" s="87"/>
      <c r="T40" s="59"/>
    </row>
    <row r="41" spans="2:20" s="58" customFormat="1" x14ac:dyDescent="0.25">
      <c r="B41" s="75"/>
      <c r="C41" s="80"/>
      <c r="D41" s="327"/>
      <c r="E41" s="327"/>
      <c r="F41" s="327"/>
      <c r="G41" s="327"/>
      <c r="H41" s="327"/>
      <c r="I41" s="327"/>
      <c r="J41" s="327"/>
      <c r="K41" s="62"/>
      <c r="L41" s="77"/>
      <c r="M41" s="83"/>
      <c r="N41" s="86"/>
      <c r="O41" s="330"/>
      <c r="P41" s="87"/>
      <c r="T41" s="59"/>
    </row>
    <row r="42" spans="2:20" s="58" customFormat="1" x14ac:dyDescent="0.25">
      <c r="B42" s="75"/>
      <c r="C42" s="80"/>
      <c r="D42" s="327"/>
      <c r="E42" s="327"/>
      <c r="F42" s="327"/>
      <c r="G42" s="327"/>
      <c r="H42" s="327"/>
      <c r="I42" s="327"/>
      <c r="J42" s="327"/>
      <c r="K42" s="62"/>
      <c r="L42" s="77"/>
      <c r="M42" s="83"/>
      <c r="N42" s="86"/>
      <c r="O42" s="330"/>
      <c r="P42" s="87"/>
      <c r="T42" s="59"/>
    </row>
    <row r="43" spans="2:20" s="58" customFormat="1" x14ac:dyDescent="0.25">
      <c r="B43" s="75"/>
      <c r="C43" s="80"/>
      <c r="D43" s="331"/>
      <c r="E43" s="327"/>
      <c r="F43" s="327"/>
      <c r="G43" s="327"/>
      <c r="H43" s="327"/>
      <c r="I43" s="327"/>
      <c r="J43" s="327"/>
      <c r="K43" s="62"/>
      <c r="L43" s="77"/>
      <c r="M43" s="83"/>
      <c r="N43" s="86"/>
      <c r="O43" s="330"/>
      <c r="P43" s="87"/>
      <c r="T43" s="59"/>
    </row>
    <row r="44" spans="2:20" s="58" customFormat="1" x14ac:dyDescent="0.25">
      <c r="B44" s="75"/>
      <c r="C44" s="80"/>
      <c r="D44" s="327"/>
      <c r="E44" s="327"/>
      <c r="F44" s="327"/>
      <c r="G44" s="327"/>
      <c r="H44" s="327"/>
      <c r="I44" s="327"/>
      <c r="J44" s="327"/>
      <c r="K44" s="62"/>
      <c r="L44" s="77"/>
      <c r="M44" s="83"/>
      <c r="N44" s="86"/>
      <c r="O44" s="330"/>
      <c r="P44" s="87"/>
      <c r="T44" s="59"/>
    </row>
    <row r="45" spans="2:20" s="58" customFormat="1" x14ac:dyDescent="0.25">
      <c r="B45" s="75"/>
      <c r="C45" s="80"/>
      <c r="D45" s="327"/>
      <c r="E45" s="327"/>
      <c r="F45" s="327"/>
      <c r="G45" s="327"/>
      <c r="H45" s="327"/>
      <c r="I45" s="327"/>
      <c r="J45" s="327"/>
      <c r="K45" s="62"/>
      <c r="L45" s="77"/>
      <c r="M45" s="83"/>
      <c r="N45" s="86"/>
      <c r="O45" s="330"/>
      <c r="P45" s="87"/>
      <c r="T45" s="59"/>
    </row>
    <row r="46" spans="2:20" s="58" customFormat="1" x14ac:dyDescent="0.25">
      <c r="B46" s="75"/>
      <c r="C46" s="80"/>
      <c r="D46" s="327"/>
      <c r="E46" s="327"/>
      <c r="F46" s="327"/>
      <c r="G46" s="327"/>
      <c r="H46" s="327"/>
      <c r="I46" s="327"/>
      <c r="J46" s="327"/>
      <c r="K46" s="62"/>
      <c r="L46" s="77"/>
      <c r="M46" s="83"/>
      <c r="N46" s="86"/>
      <c r="O46" s="330"/>
      <c r="P46" s="87"/>
      <c r="T46" s="59"/>
    </row>
    <row r="47" spans="2:20" s="58" customFormat="1" x14ac:dyDescent="0.25">
      <c r="B47" s="75"/>
      <c r="C47" s="80"/>
      <c r="D47" s="331"/>
      <c r="E47" s="327"/>
      <c r="F47" s="327"/>
      <c r="G47" s="327"/>
      <c r="H47" s="327"/>
      <c r="I47" s="327"/>
      <c r="J47" s="327"/>
      <c r="K47" s="62"/>
      <c r="L47" s="77"/>
      <c r="M47" s="83"/>
      <c r="N47" s="86"/>
      <c r="O47" s="330"/>
      <c r="P47" s="87"/>
      <c r="T47" s="59"/>
    </row>
    <row r="48" spans="2:20" s="58" customFormat="1" x14ac:dyDescent="0.25">
      <c r="B48" s="75"/>
      <c r="C48" s="80"/>
      <c r="D48" s="327"/>
      <c r="E48" s="327"/>
      <c r="F48" s="327"/>
      <c r="G48" s="327"/>
      <c r="H48" s="327"/>
      <c r="I48" s="327"/>
      <c r="J48" s="327"/>
      <c r="K48" s="62"/>
      <c r="L48" s="77"/>
      <c r="M48" s="83"/>
      <c r="N48" s="86"/>
      <c r="O48" s="330"/>
      <c r="P48" s="87"/>
      <c r="T48" s="59"/>
    </row>
    <row r="49" spans="2:20" s="58" customFormat="1" x14ac:dyDescent="0.25">
      <c r="B49" s="75"/>
      <c r="C49" s="80"/>
      <c r="D49" s="327"/>
      <c r="E49" s="327"/>
      <c r="F49" s="327"/>
      <c r="G49" s="327"/>
      <c r="H49" s="327"/>
      <c r="I49" s="327"/>
      <c r="J49" s="327"/>
      <c r="K49" s="62"/>
      <c r="L49" s="77"/>
      <c r="M49" s="83"/>
      <c r="N49" s="86"/>
      <c r="O49" s="330"/>
      <c r="P49" s="87"/>
      <c r="T49" s="59"/>
    </row>
    <row r="50" spans="2:20" s="58" customFormat="1" x14ac:dyDescent="0.25">
      <c r="B50" s="75"/>
      <c r="C50" s="80"/>
      <c r="D50" s="327"/>
      <c r="E50" s="327"/>
      <c r="F50" s="327"/>
      <c r="G50" s="327"/>
      <c r="H50" s="327"/>
      <c r="I50" s="327"/>
      <c r="J50" s="327"/>
      <c r="K50" s="62"/>
      <c r="L50" s="77"/>
      <c r="M50" s="83"/>
      <c r="N50" s="86"/>
      <c r="O50" s="330"/>
      <c r="P50" s="87"/>
      <c r="T50" s="59"/>
    </row>
    <row r="51" spans="2:20" s="58" customFormat="1" x14ac:dyDescent="0.25">
      <c r="B51" s="75"/>
      <c r="C51" s="80"/>
      <c r="D51" s="327"/>
      <c r="E51" s="327"/>
      <c r="F51" s="327"/>
      <c r="G51" s="327"/>
      <c r="H51" s="327"/>
      <c r="I51" s="327"/>
      <c r="J51" s="327"/>
      <c r="K51" s="62"/>
      <c r="L51" s="77"/>
      <c r="M51" s="83"/>
      <c r="N51" s="86"/>
      <c r="O51" s="330"/>
      <c r="P51" s="87"/>
      <c r="T51" s="59"/>
    </row>
    <row r="52" spans="2:20" s="58" customFormat="1" x14ac:dyDescent="0.25">
      <c r="B52" s="75"/>
      <c r="C52" s="80"/>
      <c r="D52" s="327"/>
      <c r="E52" s="327"/>
      <c r="F52" s="327"/>
      <c r="G52" s="327"/>
      <c r="H52" s="327"/>
      <c r="I52" s="327"/>
      <c r="J52" s="327"/>
      <c r="K52" s="62"/>
      <c r="L52" s="77"/>
      <c r="M52" s="77"/>
      <c r="N52" s="86"/>
      <c r="O52" s="330"/>
      <c r="P52" s="87"/>
      <c r="T52" s="59"/>
    </row>
    <row r="53" spans="2:20" s="58" customFormat="1" x14ac:dyDescent="0.35">
      <c r="B53" s="75"/>
      <c r="C53" s="80"/>
      <c r="D53" s="327"/>
      <c r="E53" s="60"/>
      <c r="F53" s="60"/>
      <c r="G53" s="60"/>
      <c r="H53" s="60"/>
      <c r="I53" s="60"/>
      <c r="J53" s="60"/>
      <c r="K53" s="62"/>
      <c r="L53" s="77"/>
      <c r="M53" s="83"/>
      <c r="N53" s="87"/>
      <c r="O53" s="327"/>
      <c r="P53" s="87"/>
    </row>
    <row r="54" spans="2:20" s="58" customFormat="1" x14ac:dyDescent="0.25">
      <c r="B54" s="75"/>
      <c r="C54" s="80"/>
      <c r="D54" s="327"/>
      <c r="E54" s="327"/>
      <c r="F54" s="327"/>
      <c r="G54" s="327"/>
      <c r="H54" s="327"/>
      <c r="I54" s="327"/>
      <c r="J54" s="327"/>
      <c r="K54" s="62"/>
      <c r="L54" s="77"/>
      <c r="M54" s="83"/>
      <c r="N54" s="86"/>
      <c r="O54" s="330"/>
      <c r="P54" s="87"/>
      <c r="T54" s="59"/>
    </row>
    <row r="55" spans="2:20" s="58" customFormat="1" x14ac:dyDescent="0.25">
      <c r="B55" s="75"/>
      <c r="C55" s="80"/>
      <c r="D55" s="327"/>
      <c r="E55" s="327"/>
      <c r="F55" s="327"/>
      <c r="G55" s="327"/>
      <c r="H55" s="327"/>
      <c r="I55" s="327"/>
      <c r="J55" s="327"/>
      <c r="K55" s="62"/>
      <c r="L55" s="77"/>
      <c r="M55" s="83"/>
      <c r="N55" s="86"/>
      <c r="O55" s="330"/>
      <c r="P55" s="87"/>
      <c r="T55" s="59"/>
    </row>
    <row r="56" spans="2:20" s="58" customFormat="1" x14ac:dyDescent="0.35">
      <c r="B56" s="75"/>
      <c r="C56" s="82"/>
      <c r="D56" s="332"/>
      <c r="E56" s="60"/>
      <c r="F56" s="60"/>
      <c r="G56" s="60"/>
      <c r="H56" s="60"/>
      <c r="I56" s="60"/>
      <c r="J56" s="60"/>
      <c r="K56" s="62"/>
      <c r="L56" s="77"/>
      <c r="M56" s="83"/>
      <c r="N56" s="87"/>
      <c r="O56" s="327"/>
      <c r="P56" s="87"/>
    </row>
    <row r="57" spans="2:20" s="58" customFormat="1" x14ac:dyDescent="0.35">
      <c r="B57" s="88"/>
      <c r="C57" s="89"/>
      <c r="D57" s="90"/>
      <c r="E57" s="91"/>
      <c r="F57" s="91"/>
      <c r="G57" s="91"/>
      <c r="H57" s="91"/>
      <c r="I57" s="91"/>
      <c r="J57" s="91"/>
      <c r="K57" s="92"/>
      <c r="L57" s="93"/>
      <c r="M57" s="93"/>
      <c r="N57" s="94"/>
      <c r="O57" s="91"/>
      <c r="P57" s="94"/>
    </row>
    <row r="58" spans="2:20" s="95" customFormat="1" ht="18" x14ac:dyDescent="0.35">
      <c r="B58" s="644" t="s">
        <v>119</v>
      </c>
      <c r="C58" s="645"/>
      <c r="D58" s="645"/>
      <c r="E58" s="646"/>
      <c r="F58" s="644" t="s">
        <v>120</v>
      </c>
      <c r="G58" s="645"/>
      <c r="H58" s="645"/>
      <c r="I58" s="645"/>
      <c r="J58" s="646"/>
      <c r="K58" s="644" t="s">
        <v>122</v>
      </c>
      <c r="L58" s="645"/>
      <c r="M58" s="645"/>
      <c r="N58" s="645"/>
      <c r="O58" s="645"/>
      <c r="P58" s="646"/>
    </row>
    <row r="59" spans="2:20" s="95" customFormat="1" ht="18" x14ac:dyDescent="0.35">
      <c r="B59" s="96"/>
      <c r="C59" s="333"/>
      <c r="D59" s="333"/>
      <c r="E59" s="97"/>
      <c r="F59" s="334"/>
      <c r="G59" s="334"/>
      <c r="H59" s="97"/>
      <c r="I59" s="98"/>
      <c r="J59" s="97"/>
      <c r="K59" s="647"/>
      <c r="L59" s="648"/>
      <c r="M59" s="648"/>
      <c r="N59" s="648"/>
      <c r="O59" s="648"/>
      <c r="P59" s="649"/>
    </row>
    <row r="60" spans="2:20" s="95" customFormat="1" ht="18" x14ac:dyDescent="0.35">
      <c r="B60" s="96"/>
      <c r="C60" s="333"/>
      <c r="D60" s="333"/>
      <c r="E60" s="97"/>
      <c r="F60" s="333"/>
      <c r="G60" s="333"/>
      <c r="H60" s="97"/>
      <c r="I60" s="96"/>
      <c r="J60" s="97"/>
      <c r="K60" s="650"/>
      <c r="L60" s="651"/>
      <c r="M60" s="651"/>
      <c r="N60" s="651"/>
      <c r="O60" s="651"/>
      <c r="P60" s="652"/>
    </row>
    <row r="61" spans="2:20" s="95" customFormat="1" ht="18" x14ac:dyDescent="0.35">
      <c r="B61" s="96"/>
      <c r="C61" s="333"/>
      <c r="D61" s="333"/>
      <c r="E61" s="97"/>
      <c r="F61" s="334"/>
      <c r="G61" s="334"/>
      <c r="H61" s="97"/>
      <c r="I61" s="98"/>
      <c r="J61" s="97"/>
      <c r="K61" s="650"/>
      <c r="L61" s="651"/>
      <c r="M61" s="651"/>
      <c r="N61" s="651"/>
      <c r="O61" s="651"/>
      <c r="P61" s="652"/>
    </row>
    <row r="62" spans="2:20" s="95" customFormat="1" ht="18" x14ac:dyDescent="0.35">
      <c r="B62" s="96"/>
      <c r="C62" s="333"/>
      <c r="D62" s="333"/>
      <c r="E62" s="97"/>
      <c r="F62" s="334"/>
      <c r="G62" s="334"/>
      <c r="H62" s="97"/>
      <c r="I62" s="98"/>
      <c r="J62" s="97"/>
      <c r="K62" s="650"/>
      <c r="L62" s="651"/>
      <c r="M62" s="651"/>
      <c r="N62" s="651"/>
      <c r="O62" s="651"/>
      <c r="P62" s="652"/>
    </row>
    <row r="63" spans="2:20" s="95" customFormat="1" ht="18" x14ac:dyDescent="0.35">
      <c r="B63" s="96"/>
      <c r="C63" s="333"/>
      <c r="D63" s="333"/>
      <c r="E63" s="97"/>
      <c r="F63" s="334"/>
      <c r="G63" s="334"/>
      <c r="H63" s="97"/>
      <c r="I63" s="98"/>
      <c r="J63" s="97"/>
      <c r="K63" s="650"/>
      <c r="L63" s="651"/>
      <c r="M63" s="651"/>
      <c r="N63" s="651"/>
      <c r="O63" s="651"/>
      <c r="P63" s="652"/>
    </row>
    <row r="64" spans="2:20" s="95" customFormat="1" ht="18" x14ac:dyDescent="0.35">
      <c r="B64" s="96"/>
      <c r="C64" s="333"/>
      <c r="D64" s="333"/>
      <c r="E64" s="97"/>
      <c r="F64" s="334"/>
      <c r="G64" s="99"/>
      <c r="H64" s="100"/>
      <c r="I64" s="101"/>
      <c r="J64" s="100"/>
      <c r="K64" s="650"/>
      <c r="L64" s="651"/>
      <c r="M64" s="651"/>
      <c r="N64" s="651"/>
      <c r="O64" s="651"/>
      <c r="P64" s="652"/>
    </row>
    <row r="65" spans="2:16" s="95" customFormat="1" ht="18" x14ac:dyDescent="0.35">
      <c r="B65" s="656" t="s">
        <v>121</v>
      </c>
      <c r="C65" s="657"/>
      <c r="D65" s="657"/>
      <c r="E65" s="658"/>
      <c r="F65" s="656" t="s">
        <v>121</v>
      </c>
      <c r="G65" s="657"/>
      <c r="H65" s="658"/>
      <c r="I65" s="656" t="s">
        <v>121</v>
      </c>
      <c r="J65" s="658"/>
      <c r="K65" s="650"/>
      <c r="L65" s="651"/>
      <c r="M65" s="651"/>
      <c r="N65" s="651"/>
      <c r="O65" s="651"/>
      <c r="P65" s="652"/>
    </row>
    <row r="66" spans="2:16" s="58" customFormat="1" ht="18" x14ac:dyDescent="0.35">
      <c r="B66" s="653" t="s">
        <v>113</v>
      </c>
      <c r="C66" s="654"/>
      <c r="D66" s="654"/>
      <c r="E66" s="655"/>
      <c r="F66" s="653" t="s">
        <v>123</v>
      </c>
      <c r="G66" s="654"/>
      <c r="H66" s="655"/>
      <c r="I66" s="653" t="s">
        <v>124</v>
      </c>
      <c r="J66" s="655"/>
      <c r="K66" s="653"/>
      <c r="L66" s="654"/>
      <c r="M66" s="654"/>
      <c r="N66" s="654"/>
      <c r="O66" s="654"/>
      <c r="P66" s="655"/>
    </row>
    <row r="67" spans="2:16" s="58" customFormat="1" x14ac:dyDescent="0.35">
      <c r="B67" s="102"/>
      <c r="C67" s="103"/>
      <c r="D67" s="102"/>
      <c r="E67" s="60"/>
      <c r="F67" s="60"/>
      <c r="G67" s="60"/>
      <c r="H67" s="60"/>
      <c r="I67" s="60"/>
      <c r="J67" s="60"/>
      <c r="K67" s="60"/>
      <c r="L67" s="104"/>
      <c r="M67" s="104"/>
      <c r="N67" s="102"/>
      <c r="O67" s="102"/>
      <c r="P67" s="60"/>
    </row>
    <row r="68" spans="2:16" s="58" customFormat="1" x14ac:dyDescent="0.35">
      <c r="B68" s="102"/>
      <c r="C68" s="103"/>
      <c r="D68" s="102"/>
      <c r="E68" s="60"/>
      <c r="F68" s="60"/>
      <c r="G68" s="60"/>
      <c r="H68" s="60"/>
      <c r="I68" s="60"/>
      <c r="J68" s="60"/>
      <c r="K68" s="60"/>
      <c r="L68" s="104"/>
      <c r="M68" s="104"/>
      <c r="N68" s="102"/>
      <c r="O68" s="102"/>
      <c r="P68" s="60"/>
    </row>
    <row r="69" spans="2:16" s="58" customFormat="1" x14ac:dyDescent="0.35">
      <c r="B69" s="102"/>
      <c r="C69" s="103"/>
      <c r="D69" s="102"/>
      <c r="E69" s="60"/>
      <c r="F69" s="60"/>
      <c r="G69" s="60"/>
      <c r="H69" s="60"/>
      <c r="I69" s="60"/>
      <c r="J69" s="60"/>
      <c r="K69" s="60"/>
      <c r="L69" s="104"/>
      <c r="M69" s="104"/>
      <c r="N69" s="102"/>
      <c r="O69" s="102"/>
      <c r="P69" s="60"/>
    </row>
    <row r="70" spans="2:16" s="58" customFormat="1" x14ac:dyDescent="0.35">
      <c r="B70" s="102"/>
      <c r="C70" s="103"/>
      <c r="D70" s="102"/>
      <c r="E70" s="105"/>
      <c r="F70" s="105"/>
      <c r="G70" s="105"/>
      <c r="H70" s="105"/>
      <c r="I70" s="105"/>
      <c r="J70" s="60"/>
      <c r="K70" s="60"/>
      <c r="L70" s="60"/>
      <c r="M70" s="60"/>
      <c r="N70" s="60"/>
      <c r="O70" s="60"/>
      <c r="P70" s="60"/>
    </row>
    <row r="71" spans="2:16" s="58" customFormat="1" x14ac:dyDescent="0.35">
      <c r="B71" s="102"/>
      <c r="C71" s="103"/>
      <c r="D71" s="102"/>
      <c r="E71" s="60"/>
      <c r="F71" s="60"/>
      <c r="G71" s="60"/>
      <c r="H71" s="60"/>
      <c r="I71" s="60"/>
      <c r="J71" s="60"/>
      <c r="K71" s="60"/>
      <c r="L71" s="102"/>
      <c r="M71" s="102"/>
      <c r="N71" s="102"/>
      <c r="O71" s="102"/>
      <c r="P71" s="60"/>
    </row>
    <row r="72" spans="2:16" s="58" customFormat="1" x14ac:dyDescent="0.35">
      <c r="B72" s="102"/>
      <c r="C72" s="103"/>
      <c r="D72" s="102"/>
      <c r="E72" s="60"/>
      <c r="F72" s="60"/>
      <c r="G72" s="60"/>
      <c r="H72" s="60"/>
      <c r="I72" s="60"/>
      <c r="J72" s="60"/>
      <c r="K72" s="60"/>
      <c r="L72" s="102"/>
      <c r="M72" s="102"/>
      <c r="N72" s="102"/>
      <c r="O72" s="102"/>
      <c r="P72" s="60"/>
    </row>
    <row r="73" spans="2:16" s="58" customFormat="1" x14ac:dyDescent="0.35">
      <c r="B73" s="102"/>
      <c r="C73" s="103"/>
      <c r="D73" s="102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</row>
    <row r="74" spans="2:16" s="58" customFormat="1" x14ac:dyDescent="0.35">
      <c r="B74" s="102"/>
      <c r="C74" s="103"/>
      <c r="D74" s="102"/>
      <c r="E74" s="105"/>
      <c r="F74" s="105"/>
      <c r="G74" s="105"/>
      <c r="H74" s="105"/>
      <c r="I74" s="105"/>
      <c r="J74" s="60"/>
      <c r="K74" s="60"/>
      <c r="L74" s="60"/>
      <c r="M74" s="60"/>
      <c r="N74" s="60"/>
      <c r="O74" s="60"/>
      <c r="P74" s="60"/>
    </row>
    <row r="75" spans="2:16" s="58" customFormat="1" x14ac:dyDescent="0.35">
      <c r="B75" s="102"/>
      <c r="C75" s="103"/>
      <c r="D75" s="102"/>
      <c r="E75" s="60"/>
      <c r="F75" s="60"/>
      <c r="G75" s="60"/>
      <c r="H75" s="60"/>
      <c r="I75" s="60"/>
      <c r="J75" s="60"/>
      <c r="K75" s="60"/>
      <c r="L75" s="102"/>
      <c r="M75" s="102"/>
      <c r="N75" s="106"/>
      <c r="O75" s="106"/>
      <c r="P75" s="60"/>
    </row>
    <row r="76" spans="2:16" s="58" customFormat="1" x14ac:dyDescent="0.35">
      <c r="B76" s="102"/>
      <c r="C76" s="103"/>
      <c r="D76" s="102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</row>
    <row r="77" spans="2:16" s="58" customFormat="1" x14ac:dyDescent="0.35">
      <c r="B77" s="102"/>
      <c r="C77" s="103"/>
      <c r="D77" s="102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</row>
    <row r="78" spans="2:16" s="58" customFormat="1" ht="12" customHeight="1" x14ac:dyDescent="0.35">
      <c r="B78" s="102"/>
      <c r="C78" s="103"/>
      <c r="D78" s="102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</row>
    <row r="79" spans="2:16" s="58" customFormat="1" ht="12" customHeight="1" x14ac:dyDescent="0.35">
      <c r="B79" s="102"/>
      <c r="C79" s="103"/>
      <c r="D79" s="102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</row>
    <row r="80" spans="2:16" s="58" customFormat="1" ht="12" customHeight="1" x14ac:dyDescent="0.35">
      <c r="B80" s="102"/>
      <c r="C80" s="103"/>
      <c r="D80" s="102"/>
      <c r="E80" s="60"/>
      <c r="F80" s="60"/>
      <c r="G80" s="60"/>
      <c r="H80" s="60"/>
      <c r="I80" s="60"/>
      <c r="J80" s="60"/>
      <c r="K80" s="60"/>
      <c r="L80" s="102"/>
      <c r="M80" s="102"/>
      <c r="N80" s="102"/>
      <c r="O80" s="102"/>
      <c r="P80" s="102"/>
    </row>
    <row r="81" spans="2:16" s="58" customFormat="1" ht="12" customHeight="1" x14ac:dyDescent="0.35">
      <c r="B81" s="102"/>
      <c r="C81" s="103"/>
      <c r="D81" s="102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</row>
    <row r="82" spans="2:16" s="58" customFormat="1" ht="12" customHeight="1" x14ac:dyDescent="0.35">
      <c r="B82" s="102"/>
      <c r="C82" s="103"/>
      <c r="D82" s="102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</row>
    <row r="83" spans="2:16" s="58" customFormat="1" ht="12" customHeight="1" x14ac:dyDescent="0.35">
      <c r="B83" s="102"/>
      <c r="C83" s="103"/>
      <c r="D83" s="102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</row>
    <row r="84" spans="2:16" s="58" customFormat="1" ht="12" customHeight="1" x14ac:dyDescent="0.35">
      <c r="B84" s="102"/>
      <c r="C84" s="103"/>
      <c r="D84" s="102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</row>
    <row r="85" spans="2:16" s="58" customFormat="1" ht="12" customHeight="1" x14ac:dyDescent="0.35">
      <c r="B85" s="102"/>
      <c r="C85" s="103"/>
      <c r="D85" s="102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</row>
    <row r="86" spans="2:16" s="58" customFormat="1" ht="12" customHeight="1" x14ac:dyDescent="0.35">
      <c r="B86" s="102"/>
      <c r="C86" s="103"/>
      <c r="D86" s="102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</row>
    <row r="87" spans="2:16" s="58" customFormat="1" ht="12" customHeight="1" x14ac:dyDescent="0.35">
      <c r="B87" s="102"/>
      <c r="C87" s="103"/>
      <c r="D87" s="102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</row>
    <row r="88" spans="2:16" s="58" customFormat="1" ht="12" customHeight="1" x14ac:dyDescent="0.35">
      <c r="B88" s="102"/>
      <c r="C88" s="103"/>
      <c r="D88" s="102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</row>
    <row r="89" spans="2:16" s="58" customFormat="1" ht="12" customHeight="1" x14ac:dyDescent="0.35">
      <c r="B89" s="102"/>
      <c r="C89" s="103"/>
      <c r="D89" s="102"/>
      <c r="E89" s="60"/>
      <c r="F89" s="60"/>
      <c r="G89" s="60"/>
      <c r="H89" s="60"/>
      <c r="I89" s="60"/>
      <c r="J89" s="60"/>
      <c r="K89" s="60"/>
      <c r="L89" s="102"/>
      <c r="M89" s="102"/>
      <c r="N89" s="106"/>
      <c r="O89" s="106"/>
      <c r="P89" s="60"/>
    </row>
    <row r="90" spans="2:16" s="58" customFormat="1" ht="12" customHeight="1" x14ac:dyDescent="0.35">
      <c r="B90" s="102"/>
      <c r="C90" s="103"/>
      <c r="D90" s="102"/>
      <c r="E90" s="60"/>
      <c r="F90" s="60"/>
      <c r="G90" s="60"/>
      <c r="H90" s="60"/>
      <c r="I90" s="60"/>
      <c r="J90" s="60"/>
      <c r="K90" s="60"/>
      <c r="L90" s="102"/>
      <c r="M90" s="102"/>
      <c r="N90" s="106"/>
      <c r="O90" s="106"/>
      <c r="P90" s="60"/>
    </row>
    <row r="91" spans="2:16" s="58" customFormat="1" ht="12" customHeight="1" x14ac:dyDescent="0.35">
      <c r="B91" s="102"/>
      <c r="C91" s="103"/>
      <c r="D91" s="102"/>
      <c r="E91" s="60"/>
      <c r="F91" s="60"/>
      <c r="G91" s="60"/>
      <c r="H91" s="60"/>
      <c r="I91" s="60"/>
      <c r="J91" s="60"/>
      <c r="K91" s="60"/>
      <c r="L91" s="102"/>
      <c r="M91" s="102"/>
      <c r="N91" s="106"/>
      <c r="O91" s="106"/>
      <c r="P91" s="60"/>
    </row>
    <row r="92" spans="2:16" s="58" customFormat="1" ht="12" customHeight="1" x14ac:dyDescent="0.35">
      <c r="B92" s="102"/>
      <c r="C92" s="103"/>
      <c r="D92" s="102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</row>
    <row r="93" spans="2:16" s="58" customFormat="1" ht="12" customHeight="1" x14ac:dyDescent="0.35">
      <c r="B93" s="102"/>
      <c r="C93" s="103"/>
      <c r="D93" s="102"/>
      <c r="E93" s="60"/>
      <c r="F93" s="60"/>
      <c r="G93" s="60"/>
      <c r="H93" s="60"/>
      <c r="I93" s="60"/>
      <c r="J93" s="60"/>
      <c r="K93" s="60"/>
      <c r="L93" s="102"/>
      <c r="M93" s="102"/>
      <c r="N93" s="60"/>
      <c r="O93" s="107"/>
      <c r="P93" s="102"/>
    </row>
    <row r="94" spans="2:16" s="58" customFormat="1" ht="12" customHeight="1" x14ac:dyDescent="0.35">
      <c r="B94" s="102"/>
      <c r="C94" s="103"/>
      <c r="D94" s="102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</row>
    <row r="95" spans="2:16" s="58" customFormat="1" ht="12" customHeight="1" x14ac:dyDescent="0.35">
      <c r="B95" s="102"/>
      <c r="C95" s="103"/>
      <c r="D95" s="102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</row>
    <row r="96" spans="2:16" s="58" customFormat="1" ht="12" customHeight="1" x14ac:dyDescent="0.35">
      <c r="B96" s="102"/>
      <c r="C96" s="103"/>
      <c r="D96" s="102"/>
      <c r="E96" s="105"/>
      <c r="F96" s="105"/>
      <c r="G96" s="105"/>
      <c r="H96" s="105"/>
      <c r="I96" s="105"/>
      <c r="J96" s="60"/>
      <c r="K96" s="60"/>
      <c r="L96" s="102"/>
      <c r="M96" s="102"/>
      <c r="N96" s="102"/>
      <c r="O96" s="102"/>
      <c r="P96" s="60"/>
    </row>
    <row r="97" spans="2:16" s="58" customFormat="1" ht="12" customHeight="1" x14ac:dyDescent="0.35">
      <c r="B97" s="102"/>
      <c r="C97" s="103"/>
      <c r="D97" s="102"/>
      <c r="E97" s="60"/>
      <c r="F97" s="60"/>
      <c r="G97" s="60"/>
      <c r="H97" s="60"/>
      <c r="I97" s="60"/>
      <c r="J97" s="60"/>
      <c r="K97" s="60"/>
      <c r="L97" s="102"/>
      <c r="M97" s="102"/>
      <c r="N97" s="102"/>
      <c r="O97" s="102"/>
      <c r="P97" s="102"/>
    </row>
    <row r="98" spans="2:16" s="58" customFormat="1" ht="12" customHeight="1" x14ac:dyDescent="0.35">
      <c r="B98" s="102"/>
      <c r="C98" s="103"/>
      <c r="D98" s="102"/>
      <c r="E98" s="60"/>
      <c r="F98" s="60"/>
      <c r="G98" s="60"/>
      <c r="H98" s="60"/>
      <c r="I98" s="60"/>
      <c r="J98" s="60"/>
      <c r="K98" s="60"/>
      <c r="L98" s="60"/>
      <c r="M98" s="60"/>
      <c r="N98" s="102"/>
      <c r="O98" s="102"/>
      <c r="P98" s="60"/>
    </row>
    <row r="99" spans="2:16" s="58" customFormat="1" ht="12" customHeight="1" x14ac:dyDescent="0.35">
      <c r="B99" s="102"/>
      <c r="C99" s="103"/>
      <c r="D99" s="102"/>
      <c r="E99" s="60"/>
      <c r="F99" s="60"/>
      <c r="G99" s="60"/>
      <c r="H99" s="60"/>
      <c r="I99" s="60"/>
      <c r="J99" s="60"/>
      <c r="K99" s="60"/>
      <c r="L99" s="60"/>
      <c r="M99" s="60"/>
      <c r="N99" s="102"/>
      <c r="O99" s="102"/>
      <c r="P99" s="60"/>
    </row>
    <row r="100" spans="2:16" ht="12" customHeight="1" x14ac:dyDescent="0.35">
      <c r="B100" s="108"/>
      <c r="C100" s="109"/>
      <c r="D100" s="108"/>
      <c r="E100" s="110"/>
      <c r="F100" s="110"/>
      <c r="G100" s="110"/>
      <c r="H100" s="110"/>
      <c r="I100" s="110"/>
      <c r="J100" s="50"/>
      <c r="K100" s="50"/>
      <c r="L100" s="50"/>
      <c r="M100" s="50"/>
      <c r="N100" s="108"/>
      <c r="O100" s="108"/>
      <c r="P100" s="50"/>
    </row>
    <row r="101" spans="2:16" ht="12" customHeight="1" x14ac:dyDescent="0.35">
      <c r="B101" s="108"/>
      <c r="C101" s="109"/>
      <c r="D101" s="108"/>
      <c r="E101" s="50"/>
      <c r="F101" s="50"/>
      <c r="G101" s="50"/>
      <c r="H101" s="50"/>
      <c r="I101" s="50"/>
      <c r="J101" s="50"/>
      <c r="K101" s="50"/>
      <c r="L101" s="108"/>
      <c r="M101" s="108"/>
      <c r="N101" s="108"/>
      <c r="O101" s="108"/>
      <c r="P101" s="111"/>
    </row>
    <row r="102" spans="2:16" ht="12" customHeight="1" x14ac:dyDescent="0.35">
      <c r="B102" s="108"/>
      <c r="C102" s="109"/>
      <c r="D102" s="108"/>
      <c r="E102" s="50"/>
      <c r="F102" s="50"/>
      <c r="G102" s="50"/>
      <c r="H102" s="50"/>
      <c r="I102" s="50"/>
      <c r="J102" s="50"/>
      <c r="K102" s="50"/>
      <c r="L102" s="108"/>
      <c r="M102" s="108"/>
      <c r="N102" s="50"/>
      <c r="O102" s="50"/>
      <c r="P102" s="50"/>
    </row>
    <row r="103" spans="2:16" ht="12" customHeight="1" x14ac:dyDescent="0.35">
      <c r="B103" s="108"/>
      <c r="C103" s="109"/>
      <c r="D103" s="108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</row>
    <row r="104" spans="2:16" ht="12" customHeight="1" x14ac:dyDescent="0.35">
      <c r="B104" s="108"/>
      <c r="C104" s="109"/>
      <c r="D104" s="108"/>
      <c r="E104" s="110"/>
      <c r="F104" s="110"/>
      <c r="G104" s="110"/>
      <c r="H104" s="110"/>
      <c r="I104" s="110"/>
      <c r="J104" s="50"/>
      <c r="K104" s="50"/>
      <c r="L104" s="50"/>
      <c r="M104" s="50"/>
      <c r="N104" s="50"/>
      <c r="O104" s="50"/>
      <c r="P104" s="50"/>
    </row>
    <row r="105" spans="2:16" ht="12" customHeight="1" x14ac:dyDescent="0.35">
      <c r="B105" s="108"/>
      <c r="C105" s="109"/>
      <c r="D105" s="108"/>
      <c r="E105" s="50"/>
      <c r="F105" s="50"/>
      <c r="G105" s="50"/>
      <c r="H105" s="50"/>
      <c r="I105" s="50"/>
      <c r="J105" s="50"/>
      <c r="K105" s="50"/>
      <c r="L105" s="108"/>
      <c r="M105" s="108"/>
      <c r="N105" s="111"/>
      <c r="O105" s="111"/>
      <c r="P105" s="108"/>
    </row>
    <row r="106" spans="2:16" ht="12" customHeight="1" x14ac:dyDescent="0.35">
      <c r="B106" s="108"/>
      <c r="C106" s="109"/>
      <c r="D106" s="108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</row>
    <row r="107" spans="2:16" ht="12" customHeight="1" x14ac:dyDescent="0.35">
      <c r="B107" s="108"/>
      <c r="C107" s="109"/>
      <c r="D107" s="108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</row>
    <row r="108" spans="2:16" ht="12" customHeight="1" x14ac:dyDescent="0.35">
      <c r="B108" s="108"/>
      <c r="C108" s="109"/>
      <c r="D108" s="108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</row>
    <row r="109" spans="2:16" ht="12" customHeight="1" x14ac:dyDescent="0.35">
      <c r="B109" s="108"/>
      <c r="C109" s="109"/>
      <c r="D109" s="108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</row>
    <row r="110" spans="2:16" ht="12" customHeight="1" x14ac:dyDescent="0.35">
      <c r="B110" s="108"/>
      <c r="C110" s="109"/>
      <c r="D110" s="108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</row>
    <row r="111" spans="2:16" ht="12" customHeight="1" x14ac:dyDescent="0.35">
      <c r="B111" s="108"/>
      <c r="C111" s="109"/>
      <c r="D111" s="108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</row>
    <row r="112" spans="2:16" ht="12.75" customHeight="1" x14ac:dyDescent="0.35">
      <c r="B112" s="108"/>
      <c r="C112" s="109"/>
      <c r="D112" s="108"/>
      <c r="E112" s="110"/>
      <c r="F112" s="110"/>
      <c r="G112" s="110"/>
      <c r="H112" s="50"/>
      <c r="I112" s="110"/>
      <c r="J112" s="50"/>
      <c r="K112" s="50"/>
      <c r="L112" s="108"/>
      <c r="M112" s="108"/>
      <c r="N112" s="111"/>
      <c r="O112" s="111"/>
      <c r="P112" s="50"/>
    </row>
    <row r="113" spans="2:16" ht="12.75" customHeight="1" x14ac:dyDescent="0.35">
      <c r="B113" s="108"/>
      <c r="C113" s="109"/>
      <c r="D113" s="108"/>
      <c r="E113" s="50"/>
      <c r="F113" s="50"/>
      <c r="G113" s="50"/>
      <c r="H113" s="50"/>
      <c r="I113" s="50"/>
      <c r="J113" s="50"/>
      <c r="K113" s="50"/>
      <c r="L113" s="108"/>
      <c r="M113" s="108"/>
      <c r="N113" s="111"/>
      <c r="O113" s="111"/>
      <c r="P113" s="111"/>
    </row>
    <row r="114" spans="2:16" ht="12.75" customHeight="1" x14ac:dyDescent="0.35">
      <c r="B114" s="108"/>
      <c r="C114" s="109"/>
      <c r="D114" s="108"/>
      <c r="E114" s="50"/>
      <c r="F114" s="50"/>
      <c r="G114" s="50"/>
      <c r="H114" s="50"/>
      <c r="I114" s="50"/>
      <c r="J114" s="50"/>
      <c r="K114" s="50"/>
      <c r="L114" s="108"/>
      <c r="M114" s="108"/>
      <c r="N114" s="50"/>
      <c r="O114" s="50"/>
      <c r="P114" s="50"/>
    </row>
    <row r="115" spans="2:16" ht="12.75" customHeight="1" x14ac:dyDescent="0.35">
      <c r="B115" s="108"/>
      <c r="C115" s="109"/>
      <c r="D115" s="108"/>
      <c r="E115" s="50"/>
      <c r="F115" s="50"/>
      <c r="G115" s="50"/>
      <c r="H115" s="50"/>
      <c r="I115" s="50"/>
      <c r="J115" s="50"/>
      <c r="K115" s="50"/>
      <c r="L115" s="108"/>
      <c r="M115" s="108"/>
      <c r="N115" s="50"/>
      <c r="O115" s="50"/>
      <c r="P115" s="50"/>
    </row>
    <row r="116" spans="2:16" ht="12.75" customHeight="1" x14ac:dyDescent="0.35">
      <c r="B116" s="108"/>
      <c r="C116" s="109"/>
      <c r="D116" s="108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</row>
    <row r="117" spans="2:16" ht="12.75" customHeight="1" x14ac:dyDescent="0.35">
      <c r="B117" s="108"/>
      <c r="C117" s="109"/>
      <c r="D117" s="108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</row>
    <row r="118" spans="2:16" ht="12.75" customHeight="1" x14ac:dyDescent="0.35">
      <c r="B118" s="50"/>
      <c r="C118" s="54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</row>
    <row r="119" spans="2:16" ht="12.75" customHeight="1" x14ac:dyDescent="0.35">
      <c r="B119" s="50"/>
      <c r="C119" s="54"/>
      <c r="D119" s="50"/>
      <c r="E119" s="50"/>
      <c r="F119" s="50"/>
      <c r="G119" s="50"/>
      <c r="H119" s="109"/>
      <c r="I119" s="50"/>
      <c r="J119" s="50"/>
      <c r="K119" s="50"/>
      <c r="L119" s="109"/>
      <c r="M119" s="109"/>
      <c r="N119" s="50"/>
      <c r="O119" s="109"/>
      <c r="P119" s="109"/>
    </row>
    <row r="120" spans="2:16" ht="12.75" customHeight="1" x14ac:dyDescent="0.35">
      <c r="B120" s="50"/>
      <c r="C120" s="54"/>
      <c r="D120" s="50"/>
      <c r="E120" s="50"/>
      <c r="F120" s="50"/>
      <c r="G120" s="50"/>
      <c r="H120" s="109"/>
      <c r="I120" s="50"/>
      <c r="J120" s="50"/>
      <c r="K120" s="50"/>
      <c r="L120" s="109"/>
      <c r="M120" s="109"/>
      <c r="N120" s="50"/>
      <c r="O120" s="109"/>
      <c r="P120" s="109"/>
    </row>
    <row r="121" spans="2:16" ht="12.75" customHeight="1" x14ac:dyDescent="0.35">
      <c r="B121" s="50"/>
      <c r="C121" s="54"/>
      <c r="D121" s="50"/>
      <c r="E121" s="50"/>
      <c r="F121" s="50"/>
      <c r="G121" s="50"/>
      <c r="H121" s="109"/>
      <c r="I121" s="50"/>
      <c r="J121" s="50"/>
      <c r="K121" s="50"/>
      <c r="L121" s="109"/>
      <c r="M121" s="109"/>
      <c r="N121" s="50"/>
      <c r="O121" s="109"/>
      <c r="P121" s="109"/>
    </row>
    <row r="122" spans="2:16" ht="12.75" customHeight="1" x14ac:dyDescent="0.35">
      <c r="B122" s="50"/>
      <c r="C122" s="54"/>
      <c r="D122" s="50"/>
      <c r="E122" s="50"/>
      <c r="F122" s="50"/>
      <c r="G122" s="50"/>
      <c r="H122" s="109"/>
      <c r="I122" s="50"/>
      <c r="J122" s="50"/>
      <c r="K122" s="50"/>
      <c r="L122" s="109"/>
      <c r="M122" s="109"/>
      <c r="N122" s="50"/>
      <c r="O122" s="109"/>
      <c r="P122" s="109"/>
    </row>
    <row r="123" spans="2:16" ht="12.75" customHeight="1" x14ac:dyDescent="0.35">
      <c r="B123" s="50"/>
      <c r="C123" s="54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</row>
    <row r="124" spans="2:16" ht="12.75" customHeight="1" x14ac:dyDescent="0.35">
      <c r="B124" s="50"/>
      <c r="C124" s="54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</row>
    <row r="125" spans="2:16" ht="12.75" customHeight="1" x14ac:dyDescent="0.35">
      <c r="B125" s="50"/>
      <c r="C125" s="54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</row>
    <row r="126" spans="2:16" ht="12.75" customHeight="1" x14ac:dyDescent="0.35">
      <c r="B126" s="47"/>
      <c r="C126" s="48"/>
      <c r="D126" s="47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632"/>
      <c r="P126" s="632"/>
    </row>
    <row r="127" spans="2:16" ht="21" customHeight="1" x14ac:dyDescent="0.35">
      <c r="B127" s="50"/>
      <c r="C127" s="54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</row>
    <row r="128" spans="2:16" ht="13.5" customHeight="1" x14ac:dyDescent="0.35">
      <c r="B128" s="50"/>
      <c r="C128" s="54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</row>
    <row r="129" spans="2:16" ht="16.5" customHeight="1" x14ac:dyDescent="0.35">
      <c r="B129" s="50"/>
      <c r="C129" s="54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</row>
    <row r="130" spans="2:16" ht="10.5" customHeight="1" x14ac:dyDescent="0.35">
      <c r="B130" s="50"/>
      <c r="C130" s="54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</row>
    <row r="131" spans="2:16" ht="17.25" customHeight="1" x14ac:dyDescent="0.35">
      <c r="B131" s="50"/>
      <c r="C131" s="54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</row>
    <row r="132" spans="2:16" ht="17.25" customHeight="1" x14ac:dyDescent="0.35">
      <c r="B132" s="50"/>
      <c r="C132" s="54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spans="2:16" x14ac:dyDescent="0.35">
      <c r="B133" s="50"/>
      <c r="C133" s="54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</row>
    <row r="134" spans="2:16" ht="4.5" customHeight="1" x14ac:dyDescent="0.35">
      <c r="B134" s="50"/>
      <c r="C134" s="54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</row>
    <row r="135" spans="2:16" ht="15" customHeight="1" x14ac:dyDescent="0.35">
      <c r="B135" s="50"/>
      <c r="C135" s="54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</row>
    <row r="136" spans="2:16" ht="17.149999999999999" customHeight="1" x14ac:dyDescent="0.35">
      <c r="B136" s="50"/>
      <c r="C136" s="54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</row>
    <row r="137" spans="2:16" ht="17.149999999999999" customHeight="1" x14ac:dyDescent="0.35">
      <c r="B137" s="50"/>
      <c r="C137" s="54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</row>
    <row r="138" spans="2:16" ht="17.149999999999999" customHeight="1" x14ac:dyDescent="0.35">
      <c r="B138" s="50"/>
      <c r="C138" s="54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</row>
    <row r="139" spans="2:16" ht="17.149999999999999" customHeight="1" x14ac:dyDescent="0.35">
      <c r="B139" s="50"/>
      <c r="C139" s="54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</row>
    <row r="140" spans="2:16" ht="17.149999999999999" customHeight="1" x14ac:dyDescent="0.35">
      <c r="B140" s="50"/>
      <c r="C140" s="54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spans="2:16" ht="17.149999999999999" customHeight="1" x14ac:dyDescent="0.35">
      <c r="B141" s="50"/>
      <c r="C141" s="54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spans="2:16" ht="17.149999999999999" customHeight="1" x14ac:dyDescent="0.35">
      <c r="B142" s="50"/>
      <c r="C142" s="54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spans="2:16" ht="17.149999999999999" customHeight="1" x14ac:dyDescent="0.35">
      <c r="B143" s="50"/>
      <c r="C143" s="54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</row>
    <row r="144" spans="2:16" ht="17.149999999999999" customHeight="1" x14ac:dyDescent="0.35">
      <c r="B144" s="50"/>
      <c r="C144" s="54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</row>
    <row r="145" spans="2:16" ht="17.149999999999999" customHeight="1" x14ac:dyDescent="0.35">
      <c r="B145" s="50"/>
      <c r="C145" s="54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</row>
    <row r="146" spans="2:16" ht="17.149999999999999" customHeight="1" x14ac:dyDescent="0.35">
      <c r="B146" s="50"/>
      <c r="C146" s="54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</row>
    <row r="147" spans="2:16" ht="17.149999999999999" customHeight="1" x14ac:dyDescent="0.35">
      <c r="B147" s="50"/>
      <c r="C147" s="54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</row>
    <row r="148" spans="2:16" ht="17.149999999999999" customHeight="1" x14ac:dyDescent="0.35">
      <c r="B148" s="50"/>
      <c r="C148" s="54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</row>
    <row r="149" spans="2:16" ht="17.149999999999999" customHeight="1" x14ac:dyDescent="0.35">
      <c r="B149" s="50"/>
      <c r="C149" s="54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</row>
    <row r="150" spans="2:16" ht="17.149999999999999" customHeight="1" x14ac:dyDescent="0.35">
      <c r="B150" s="50"/>
      <c r="C150" s="54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</row>
    <row r="151" spans="2:16" x14ac:dyDescent="0.35">
      <c r="B151" s="50"/>
      <c r="C151" s="54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</row>
    <row r="152" spans="2:16" x14ac:dyDescent="0.35">
      <c r="B152" s="50"/>
      <c r="C152" s="54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</row>
    <row r="153" spans="2:16" ht="16.5" customHeight="1" x14ac:dyDescent="0.35">
      <c r="B153" s="50"/>
      <c r="C153" s="54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</row>
    <row r="154" spans="2:16" ht="4.5" customHeight="1" x14ac:dyDescent="0.35">
      <c r="B154" s="50"/>
      <c r="C154" s="54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</row>
    <row r="155" spans="2:16" x14ac:dyDescent="0.35">
      <c r="B155" s="50"/>
      <c r="C155" s="54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</row>
    <row r="156" spans="2:16" x14ac:dyDescent="0.35">
      <c r="B156" s="50"/>
      <c r="C156" s="54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</row>
    <row r="157" spans="2:16" x14ac:dyDescent="0.35">
      <c r="B157" s="50"/>
      <c r="C157" s="54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</row>
    <row r="158" spans="2:16" x14ac:dyDescent="0.35">
      <c r="B158" s="50"/>
      <c r="C158" s="54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</row>
    <row r="159" spans="2:16" x14ac:dyDescent="0.35">
      <c r="B159" s="50"/>
      <c r="C159" s="54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</row>
    <row r="160" spans="2:16" x14ac:dyDescent="0.35">
      <c r="B160" s="50"/>
      <c r="C160" s="54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</row>
    <row r="161" spans="2:16" x14ac:dyDescent="0.35">
      <c r="B161" s="50"/>
      <c r="C161" s="54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</row>
    <row r="162" spans="2:16" x14ac:dyDescent="0.35">
      <c r="B162" s="50"/>
      <c r="C162" s="54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</row>
    <row r="163" spans="2:16" x14ac:dyDescent="0.35">
      <c r="B163" s="50"/>
      <c r="C163" s="54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</row>
    <row r="164" spans="2:16" x14ac:dyDescent="0.35">
      <c r="B164" s="50"/>
      <c r="C164" s="54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</row>
    <row r="165" spans="2:16" x14ac:dyDescent="0.35">
      <c r="B165" s="50"/>
      <c r="C165" s="54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</row>
    <row r="166" spans="2:16" x14ac:dyDescent="0.35">
      <c r="B166" s="50"/>
      <c r="C166" s="54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</row>
    <row r="167" spans="2:16" x14ac:dyDescent="0.35">
      <c r="B167" s="50"/>
      <c r="C167" s="54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</row>
    <row r="168" spans="2:16" x14ac:dyDescent="0.35">
      <c r="B168" s="50"/>
      <c r="C168" s="54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</row>
    <row r="169" spans="2:16" x14ac:dyDescent="0.35">
      <c r="B169" s="50"/>
      <c r="C169" s="54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</row>
    <row r="170" spans="2:16" x14ac:dyDescent="0.35">
      <c r="B170" s="50"/>
      <c r="C170" s="54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</row>
    <row r="171" spans="2:16" x14ac:dyDescent="0.35">
      <c r="B171" s="50"/>
      <c r="C171" s="54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</row>
    <row r="172" spans="2:16" x14ac:dyDescent="0.35">
      <c r="B172" s="50"/>
      <c r="C172" s="54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</row>
    <row r="173" spans="2:16" x14ac:dyDescent="0.35">
      <c r="B173" s="50"/>
      <c r="C173" s="54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</row>
    <row r="174" spans="2:16" x14ac:dyDescent="0.35">
      <c r="B174" s="50"/>
      <c r="C174" s="54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</row>
    <row r="175" spans="2:16" x14ac:dyDescent="0.35">
      <c r="B175" s="50"/>
      <c r="C175" s="54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</row>
    <row r="176" spans="2:16" x14ac:dyDescent="0.35">
      <c r="B176" s="50"/>
      <c r="C176" s="54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</row>
    <row r="177" spans="2:16" x14ac:dyDescent="0.35">
      <c r="B177" s="50"/>
      <c r="C177" s="54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</row>
    <row r="178" spans="2:16" x14ac:dyDescent="0.35">
      <c r="B178" s="50"/>
      <c r="C178" s="54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</row>
    <row r="179" spans="2:16" x14ac:dyDescent="0.35">
      <c r="B179" s="50"/>
      <c r="C179" s="54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</row>
    <row r="180" spans="2:16" x14ac:dyDescent="0.35">
      <c r="B180" s="50"/>
      <c r="C180" s="54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</row>
    <row r="181" spans="2:16" x14ac:dyDescent="0.35">
      <c r="B181" s="50"/>
      <c r="C181" s="54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</row>
    <row r="182" spans="2:16" x14ac:dyDescent="0.35">
      <c r="B182" s="50"/>
      <c r="C182" s="54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</row>
    <row r="183" spans="2:16" x14ac:dyDescent="0.35">
      <c r="B183" s="50"/>
      <c r="C183" s="54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</row>
    <row r="184" spans="2:16" x14ac:dyDescent="0.35">
      <c r="B184" s="50"/>
      <c r="C184" s="54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</row>
    <row r="185" spans="2:16" x14ac:dyDescent="0.35">
      <c r="B185" s="50"/>
      <c r="C185" s="54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</row>
    <row r="186" spans="2:16" x14ac:dyDescent="0.35">
      <c r="B186" s="50"/>
      <c r="C186" s="54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</row>
    <row r="187" spans="2:16" x14ac:dyDescent="0.35">
      <c r="B187" s="50"/>
      <c r="C187" s="54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</row>
    <row r="188" spans="2:16" x14ac:dyDescent="0.35">
      <c r="B188" s="50"/>
      <c r="C188" s="54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</row>
    <row r="189" spans="2:16" x14ac:dyDescent="0.35">
      <c r="B189" s="50"/>
      <c r="C189" s="54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</row>
    <row r="190" spans="2:16" ht="3.75" customHeight="1" x14ac:dyDescent="0.35">
      <c r="B190" s="50"/>
      <c r="C190" s="54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</row>
    <row r="191" spans="2:16" ht="18.75" customHeight="1" x14ac:dyDescent="0.35">
      <c r="B191" s="50"/>
      <c r="C191" s="54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</row>
    <row r="192" spans="2:16" x14ac:dyDescent="0.35">
      <c r="B192" s="50"/>
      <c r="C192" s="54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</row>
    <row r="193" spans="2:16" x14ac:dyDescent="0.35">
      <c r="B193" s="50"/>
      <c r="C193" s="54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</row>
    <row r="194" spans="2:16" x14ac:dyDescent="0.35">
      <c r="B194" s="50"/>
      <c r="C194" s="54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</row>
    <row r="195" spans="2:16" x14ac:dyDescent="0.35">
      <c r="B195" s="50"/>
      <c r="C195" s="54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</row>
    <row r="196" spans="2:16" x14ac:dyDescent="0.35">
      <c r="B196" s="50"/>
      <c r="C196" s="54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</row>
    <row r="197" spans="2:16" x14ac:dyDescent="0.35">
      <c r="B197" s="50"/>
      <c r="C197" s="54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</row>
    <row r="198" spans="2:16" x14ac:dyDescent="0.35">
      <c r="B198" s="50"/>
      <c r="C198" s="54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</row>
    <row r="199" spans="2:16" x14ac:dyDescent="0.35">
      <c r="B199" s="50"/>
      <c r="C199" s="54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</row>
    <row r="200" spans="2:16" x14ac:dyDescent="0.35">
      <c r="B200" s="50"/>
      <c r="C200" s="54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</row>
    <row r="201" spans="2:16" x14ac:dyDescent="0.35">
      <c r="B201" s="50"/>
      <c r="C201" s="54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</row>
    <row r="202" spans="2:16" x14ac:dyDescent="0.35">
      <c r="B202" s="50"/>
      <c r="C202" s="54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</row>
    <row r="203" spans="2:16" x14ac:dyDescent="0.35">
      <c r="B203" s="50"/>
      <c r="C203" s="54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</row>
    <row r="204" spans="2:16" x14ac:dyDescent="0.35">
      <c r="B204" s="50"/>
      <c r="C204" s="54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</row>
    <row r="205" spans="2:16" x14ac:dyDescent="0.35">
      <c r="B205" s="50"/>
      <c r="C205" s="54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</row>
    <row r="206" spans="2:16" x14ac:dyDescent="0.35">
      <c r="B206" s="50"/>
      <c r="C206" s="54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</row>
    <row r="207" spans="2:16" x14ac:dyDescent="0.35">
      <c r="B207" s="50"/>
      <c r="C207" s="54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</row>
    <row r="208" spans="2:16" x14ac:dyDescent="0.35">
      <c r="B208" s="50"/>
      <c r="C208" s="54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</row>
    <row r="209" spans="2:16" x14ac:dyDescent="0.35">
      <c r="B209" s="50"/>
      <c r="C209" s="54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</row>
    <row r="210" spans="2:16" x14ac:dyDescent="0.35">
      <c r="B210" s="50"/>
      <c r="C210" s="54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</row>
    <row r="211" spans="2:16" x14ac:dyDescent="0.35">
      <c r="B211" s="50"/>
      <c r="C211" s="54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</row>
    <row r="212" spans="2:16" x14ac:dyDescent="0.35">
      <c r="B212" s="50"/>
      <c r="C212" s="54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</row>
    <row r="213" spans="2:16" x14ac:dyDescent="0.35">
      <c r="B213" s="50"/>
      <c r="C213" s="54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</row>
    <row r="214" spans="2:16" x14ac:dyDescent="0.35">
      <c r="B214" s="50"/>
      <c r="C214" s="54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</row>
    <row r="215" spans="2:16" x14ac:dyDescent="0.35">
      <c r="B215" s="50"/>
      <c r="C215" s="54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</row>
    <row r="216" spans="2:16" x14ac:dyDescent="0.35">
      <c r="B216" s="50"/>
      <c r="C216" s="54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</row>
    <row r="217" spans="2:16" x14ac:dyDescent="0.35">
      <c r="B217" s="50"/>
      <c r="C217" s="54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</row>
    <row r="218" spans="2:16" x14ac:dyDescent="0.35">
      <c r="B218" s="50"/>
      <c r="C218" s="54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</row>
    <row r="219" spans="2:16" x14ac:dyDescent="0.35">
      <c r="B219" s="50"/>
      <c r="C219" s="54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</row>
    <row r="220" spans="2:16" x14ac:dyDescent="0.35">
      <c r="B220" s="50"/>
      <c r="C220" s="54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</row>
    <row r="221" spans="2:16" x14ac:dyDescent="0.35">
      <c r="B221" s="50"/>
      <c r="C221" s="54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</row>
    <row r="222" spans="2:16" x14ac:dyDescent="0.35">
      <c r="B222" s="50"/>
      <c r="C222" s="54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</row>
    <row r="223" spans="2:16" x14ac:dyDescent="0.35">
      <c r="B223" s="50"/>
      <c r="C223" s="54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</row>
    <row r="224" spans="2:16" x14ac:dyDescent="0.35">
      <c r="B224" s="50"/>
      <c r="C224" s="54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</row>
    <row r="225" spans="2:16" x14ac:dyDescent="0.35">
      <c r="B225" s="50"/>
      <c r="C225" s="54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</row>
    <row r="226" spans="2:16" x14ac:dyDescent="0.35">
      <c r="B226" s="50"/>
      <c r="C226" s="54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</row>
    <row r="227" spans="2:16" x14ac:dyDescent="0.35">
      <c r="B227" s="50"/>
      <c r="C227" s="54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</row>
    <row r="228" spans="2:16" x14ac:dyDescent="0.35">
      <c r="B228" s="50"/>
      <c r="C228" s="54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</row>
    <row r="229" spans="2:16" x14ac:dyDescent="0.35">
      <c r="B229" s="50"/>
      <c r="C229" s="54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</row>
    <row r="230" spans="2:16" x14ac:dyDescent="0.35">
      <c r="B230" s="50"/>
      <c r="C230" s="54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</row>
    <row r="231" spans="2:16" x14ac:dyDescent="0.35">
      <c r="B231" s="50"/>
      <c r="C231" s="54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</row>
    <row r="232" spans="2:16" x14ac:dyDescent="0.35">
      <c r="B232" s="50"/>
      <c r="C232" s="54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</row>
    <row r="233" spans="2:16" x14ac:dyDescent="0.35">
      <c r="B233" s="50"/>
      <c r="C233" s="54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</row>
    <row r="234" spans="2:16" x14ac:dyDescent="0.35">
      <c r="B234" s="50"/>
      <c r="C234" s="54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</row>
    <row r="235" spans="2:16" x14ac:dyDescent="0.35">
      <c r="B235" s="50"/>
      <c r="C235" s="54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</row>
    <row r="236" spans="2:16" x14ac:dyDescent="0.35">
      <c r="B236" s="50"/>
      <c r="C236" s="54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</row>
    <row r="237" spans="2:16" x14ac:dyDescent="0.35">
      <c r="B237" s="50"/>
      <c r="C237" s="54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</row>
    <row r="238" spans="2:16" x14ac:dyDescent="0.35">
      <c r="B238" s="50"/>
      <c r="C238" s="54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</row>
    <row r="239" spans="2:16" x14ac:dyDescent="0.35">
      <c r="B239" s="50"/>
      <c r="C239" s="54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</row>
    <row r="240" spans="2:16" x14ac:dyDescent="0.35">
      <c r="B240" s="50"/>
      <c r="C240" s="54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</row>
    <row r="241" spans="2:16" x14ac:dyDescent="0.35">
      <c r="B241" s="50"/>
      <c r="C241" s="54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</row>
    <row r="242" spans="2:16" x14ac:dyDescent="0.35">
      <c r="B242" s="50"/>
      <c r="C242" s="54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</row>
    <row r="243" spans="2:16" x14ac:dyDescent="0.35">
      <c r="B243" s="50"/>
      <c r="C243" s="54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</row>
    <row r="244" spans="2:16" x14ac:dyDescent="0.35">
      <c r="B244" s="50"/>
      <c r="C244" s="54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</row>
    <row r="245" spans="2:16" x14ac:dyDescent="0.35">
      <c r="B245" s="50"/>
      <c r="C245" s="54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</row>
    <row r="246" spans="2:16" x14ac:dyDescent="0.35">
      <c r="B246" s="50"/>
      <c r="C246" s="54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</row>
    <row r="247" spans="2:16" x14ac:dyDescent="0.35">
      <c r="B247" s="50"/>
      <c r="C247" s="54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</row>
    <row r="248" spans="2:16" x14ac:dyDescent="0.35">
      <c r="B248" s="50"/>
      <c r="C248" s="54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</row>
    <row r="249" spans="2:16" x14ac:dyDescent="0.35">
      <c r="B249" s="50"/>
      <c r="C249" s="54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</row>
    <row r="250" spans="2:16" x14ac:dyDescent="0.35">
      <c r="B250" s="50"/>
      <c r="C250" s="54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</row>
    <row r="251" spans="2:16" x14ac:dyDescent="0.35">
      <c r="B251" s="50"/>
      <c r="C251" s="54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</row>
    <row r="252" spans="2:16" x14ac:dyDescent="0.35">
      <c r="B252" s="50"/>
      <c r="C252" s="54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</row>
    <row r="253" spans="2:16" x14ac:dyDescent="0.35">
      <c r="B253" s="50"/>
      <c r="C253" s="54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</row>
    <row r="254" spans="2:16" x14ac:dyDescent="0.35">
      <c r="B254" s="50"/>
      <c r="C254" s="54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</row>
    <row r="255" spans="2:16" x14ac:dyDescent="0.35">
      <c r="B255" s="50"/>
      <c r="C255" s="54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</row>
    <row r="256" spans="2:16" x14ac:dyDescent="0.35">
      <c r="B256" s="50"/>
      <c r="C256" s="54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</row>
    <row r="257" spans="2:16" x14ac:dyDescent="0.35">
      <c r="B257" s="50"/>
      <c r="C257" s="54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</row>
    <row r="258" spans="2:16" x14ac:dyDescent="0.35">
      <c r="B258" s="50"/>
      <c r="C258" s="54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</row>
    <row r="259" spans="2:16" x14ac:dyDescent="0.35">
      <c r="B259" s="50"/>
      <c r="C259" s="54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</row>
    <row r="260" spans="2:16" x14ac:dyDescent="0.35">
      <c r="B260" s="50"/>
      <c r="C260" s="54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</row>
    <row r="261" spans="2:16" x14ac:dyDescent="0.35">
      <c r="B261" s="50"/>
      <c r="C261" s="54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</row>
    <row r="262" spans="2:16" x14ac:dyDescent="0.35">
      <c r="B262" s="50"/>
      <c r="C262" s="54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</row>
    <row r="263" spans="2:16" x14ac:dyDescent="0.35">
      <c r="B263" s="50"/>
      <c r="C263" s="54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</row>
    <row r="264" spans="2:16" x14ac:dyDescent="0.35">
      <c r="B264" s="50"/>
      <c r="C264" s="54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</row>
    <row r="265" spans="2:16" x14ac:dyDescent="0.35">
      <c r="B265" s="50"/>
      <c r="C265" s="54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</row>
    <row r="266" spans="2:16" x14ac:dyDescent="0.35">
      <c r="B266" s="50"/>
      <c r="C266" s="54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</row>
    <row r="267" spans="2:16" x14ac:dyDescent="0.35">
      <c r="B267" s="50"/>
      <c r="C267" s="54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</row>
    <row r="268" spans="2:16" x14ac:dyDescent="0.35">
      <c r="B268" s="50"/>
      <c r="C268" s="54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</row>
    <row r="269" spans="2:16" x14ac:dyDescent="0.35">
      <c r="B269" s="50"/>
      <c r="C269" s="54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</row>
    <row r="270" spans="2:16" x14ac:dyDescent="0.35">
      <c r="B270" s="50"/>
      <c r="C270" s="54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</row>
    <row r="271" spans="2:16" x14ac:dyDescent="0.35">
      <c r="B271" s="50"/>
      <c r="C271" s="54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</row>
    <row r="272" spans="2:16" x14ac:dyDescent="0.35">
      <c r="B272" s="50"/>
      <c r="C272" s="54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</row>
    <row r="273" spans="2:16" x14ac:dyDescent="0.35">
      <c r="B273" s="50"/>
      <c r="C273" s="54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</row>
    <row r="274" spans="2:16" x14ac:dyDescent="0.35">
      <c r="B274" s="50"/>
      <c r="C274" s="54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</row>
    <row r="275" spans="2:16" x14ac:dyDescent="0.35">
      <c r="B275" s="50"/>
      <c r="C275" s="54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</row>
    <row r="276" spans="2:16" x14ac:dyDescent="0.35">
      <c r="B276" s="50"/>
      <c r="C276" s="54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</row>
    <row r="277" spans="2:16" x14ac:dyDescent="0.35">
      <c r="B277" s="50"/>
      <c r="C277" s="54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</row>
    <row r="278" spans="2:16" x14ac:dyDescent="0.35">
      <c r="B278" s="50"/>
      <c r="C278" s="54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</row>
    <row r="279" spans="2:16" x14ac:dyDescent="0.35">
      <c r="B279" s="50"/>
      <c r="C279" s="54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</row>
    <row r="280" spans="2:16" x14ac:dyDescent="0.35">
      <c r="B280" s="50"/>
      <c r="C280" s="54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</row>
    <row r="281" spans="2:16" x14ac:dyDescent="0.35">
      <c r="B281" s="50"/>
      <c r="C281" s="54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</row>
    <row r="282" spans="2:16" x14ac:dyDescent="0.35">
      <c r="B282" s="50"/>
      <c r="C282" s="54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</row>
    <row r="283" spans="2:16" x14ac:dyDescent="0.35">
      <c r="B283" s="50"/>
      <c r="C283" s="54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</row>
    <row r="284" spans="2:16" x14ac:dyDescent="0.35">
      <c r="B284" s="50"/>
      <c r="C284" s="54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</row>
    <row r="285" spans="2:16" x14ac:dyDescent="0.35">
      <c r="B285" s="50"/>
      <c r="C285" s="54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</row>
    <row r="286" spans="2:16" x14ac:dyDescent="0.35">
      <c r="B286" s="50"/>
      <c r="C286" s="54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</row>
    <row r="287" spans="2:16" x14ac:dyDescent="0.35">
      <c r="B287" s="50"/>
      <c r="C287" s="54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</row>
    <row r="288" spans="2:16" x14ac:dyDescent="0.35">
      <c r="B288" s="50"/>
      <c r="C288" s="54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</row>
    <row r="289" spans="2:16" x14ac:dyDescent="0.35">
      <c r="B289" s="50"/>
      <c r="C289" s="54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</row>
    <row r="290" spans="2:16" x14ac:dyDescent="0.35">
      <c r="B290" s="50"/>
      <c r="C290" s="54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</row>
    <row r="291" spans="2:16" x14ac:dyDescent="0.35">
      <c r="B291" s="50"/>
      <c r="C291" s="54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</row>
    <row r="292" spans="2:16" x14ac:dyDescent="0.35">
      <c r="B292" s="50"/>
      <c r="C292" s="54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</row>
  </sheetData>
  <mergeCells count="19">
    <mergeCell ref="B66:E66"/>
    <mergeCell ref="F66:H66"/>
    <mergeCell ref="I66:J66"/>
    <mergeCell ref="O126:P126"/>
    <mergeCell ref="H3:N3"/>
    <mergeCell ref="M10:N10"/>
    <mergeCell ref="M11:N11"/>
    <mergeCell ref="B6:P6"/>
    <mergeCell ref="C7:H7"/>
    <mergeCell ref="J7:K7"/>
    <mergeCell ref="M7:N7"/>
    <mergeCell ref="O7:P7"/>
    <mergeCell ref="B58:E58"/>
    <mergeCell ref="F58:J58"/>
    <mergeCell ref="K58:P58"/>
    <mergeCell ref="K59:P66"/>
    <mergeCell ref="B65:E65"/>
    <mergeCell ref="F65:H65"/>
    <mergeCell ref="I65:J65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9755-BE58-4CCE-8052-457A0094E11D}">
  <dimension ref="B1:T66"/>
  <sheetViews>
    <sheetView showGridLines="0" zoomScaleNormal="80" workbookViewId="0">
      <pane xSplit="4" ySplit="5" topLeftCell="L6" activePane="bottomRight" state="frozen"/>
      <selection activeCell="B2" sqref="B2:F33"/>
      <selection pane="topRight" activeCell="B2" sqref="B2:F33"/>
      <selection pane="bottomLeft" activeCell="B2" sqref="B2:F33"/>
      <selection pane="bottomRight" activeCell="B1" sqref="B1:T18"/>
    </sheetView>
  </sheetViews>
  <sheetFormatPr defaultColWidth="9.1796875" defaultRowHeight="17.25" customHeight="1" x14ac:dyDescent="0.35"/>
  <cols>
    <col min="1" max="1" width="4.54296875" customWidth="1"/>
    <col min="2" max="2" width="6.1796875" customWidth="1"/>
    <col min="3" max="3" width="21.54296875" customWidth="1"/>
    <col min="4" max="4" width="18.453125" bestFit="1" customWidth="1"/>
    <col min="5" max="5" width="67.1796875" customWidth="1"/>
    <col min="6" max="6" width="23.1796875" customWidth="1"/>
    <col min="7" max="7" width="15.54296875" bestFit="1" customWidth="1"/>
    <col min="8" max="8" width="16.453125" customWidth="1"/>
    <col min="9" max="9" width="13.453125" customWidth="1"/>
    <col min="10" max="17" width="6.54296875" customWidth="1"/>
    <col min="18" max="18" width="45.453125" customWidth="1"/>
    <col min="19" max="19" width="11.81640625" customWidth="1"/>
    <col min="20" max="20" width="14.81640625" customWidth="1"/>
  </cols>
  <sheetData>
    <row r="1" spans="2:20" ht="18.5" x14ac:dyDescent="0.45">
      <c r="B1" s="121" t="s">
        <v>149</v>
      </c>
      <c r="G1" s="661"/>
    </row>
    <row r="2" spans="2:20" ht="17.25" customHeight="1" x14ac:dyDescent="0.35">
      <c r="B2" s="337" t="s">
        <v>150</v>
      </c>
      <c r="C2" s="338"/>
      <c r="D2" s="338"/>
      <c r="E2" s="338"/>
      <c r="F2" s="338"/>
      <c r="G2" s="662"/>
      <c r="H2" s="338"/>
      <c r="I2" s="338"/>
      <c r="J2" s="338"/>
      <c r="K2" s="338"/>
      <c r="L2" s="338"/>
      <c r="M2" s="338"/>
      <c r="N2" s="338"/>
      <c r="O2" s="338"/>
      <c r="P2" s="339"/>
    </row>
    <row r="3" spans="2:20" ht="17.25" customHeight="1" x14ac:dyDescent="0.35">
      <c r="B3" s="340"/>
      <c r="P3" s="342"/>
    </row>
    <row r="4" spans="2:20" ht="17.25" customHeight="1" x14ac:dyDescent="0.35">
      <c r="B4" s="663" t="s">
        <v>7</v>
      </c>
      <c r="C4" s="663" t="s">
        <v>151</v>
      </c>
      <c r="D4" s="664" t="s">
        <v>37</v>
      </c>
      <c r="E4" s="663" t="s">
        <v>152</v>
      </c>
      <c r="F4" s="663" t="s">
        <v>153</v>
      </c>
      <c r="G4" s="663"/>
      <c r="H4" s="664" t="s">
        <v>154</v>
      </c>
      <c r="I4" s="659" t="s">
        <v>155</v>
      </c>
      <c r="J4" s="666" t="s">
        <v>156</v>
      </c>
      <c r="K4" s="667"/>
      <c r="L4" s="667"/>
      <c r="M4" s="667"/>
      <c r="N4" s="667"/>
      <c r="O4" s="667"/>
      <c r="P4" s="668"/>
      <c r="Q4" s="668"/>
      <c r="R4" s="663" t="s">
        <v>157</v>
      </c>
      <c r="S4" s="663" t="s">
        <v>43</v>
      </c>
      <c r="T4" s="659" t="s">
        <v>158</v>
      </c>
    </row>
    <row r="5" spans="2:20" ht="17.25" customHeight="1" x14ac:dyDescent="0.35">
      <c r="B5" s="664"/>
      <c r="C5" s="664"/>
      <c r="D5" s="665"/>
      <c r="E5" s="664"/>
      <c r="F5" s="122" t="s">
        <v>159</v>
      </c>
      <c r="G5" s="122" t="s">
        <v>160</v>
      </c>
      <c r="H5" s="665"/>
      <c r="I5" s="660"/>
      <c r="J5" s="123">
        <v>1</v>
      </c>
      <c r="K5" s="123">
        <v>2</v>
      </c>
      <c r="L5" s="123">
        <v>3</v>
      </c>
      <c r="M5" s="123">
        <v>4</v>
      </c>
      <c r="N5" s="123">
        <v>5</v>
      </c>
      <c r="O5" s="123">
        <v>6</v>
      </c>
      <c r="P5" s="123">
        <v>7</v>
      </c>
      <c r="Q5" s="123">
        <v>8</v>
      </c>
      <c r="R5" s="664"/>
      <c r="S5" s="664"/>
      <c r="T5" s="660"/>
    </row>
    <row r="6" spans="2:20" s="128" customFormat="1" ht="33.75" customHeight="1" x14ac:dyDescent="0.35">
      <c r="B6" s="124">
        <v>1</v>
      </c>
      <c r="C6" s="125"/>
      <c r="D6" s="124"/>
      <c r="E6" s="125"/>
      <c r="F6" s="125"/>
      <c r="G6" s="125"/>
      <c r="H6" s="125"/>
      <c r="I6" s="124"/>
      <c r="J6" s="126"/>
      <c r="K6" s="126"/>
      <c r="L6" s="126"/>
      <c r="M6" s="126"/>
      <c r="N6" s="126"/>
      <c r="O6" s="125"/>
      <c r="P6" s="125"/>
      <c r="Q6" s="125"/>
      <c r="R6" s="127"/>
      <c r="S6" s="125"/>
      <c r="T6" s="125"/>
    </row>
    <row r="7" spans="2:20" s="128" customFormat="1" ht="33.75" customHeight="1" x14ac:dyDescent="0.35">
      <c r="B7" s="129">
        <v>2</v>
      </c>
      <c r="C7" s="130"/>
      <c r="D7" s="129"/>
      <c r="E7" s="130"/>
      <c r="F7" s="130"/>
      <c r="G7" s="130"/>
      <c r="H7" s="130"/>
      <c r="I7" s="129"/>
      <c r="J7" s="131"/>
      <c r="K7" s="131"/>
      <c r="L7" s="131"/>
      <c r="M7" s="131"/>
      <c r="N7" s="131"/>
      <c r="O7" s="130"/>
      <c r="P7" s="130"/>
      <c r="Q7" s="130"/>
      <c r="R7" s="130"/>
      <c r="S7" s="130"/>
      <c r="T7" s="130"/>
    </row>
    <row r="8" spans="2:20" s="128" customFormat="1" ht="33.75" customHeight="1" x14ac:dyDescent="0.35">
      <c r="B8" s="129">
        <v>3</v>
      </c>
      <c r="C8" s="130"/>
      <c r="D8" s="129"/>
      <c r="E8" s="130"/>
      <c r="F8" s="130"/>
      <c r="G8" s="130"/>
      <c r="H8" s="130"/>
      <c r="I8" s="129"/>
      <c r="J8" s="131"/>
      <c r="K8" s="131"/>
      <c r="L8" s="131"/>
      <c r="M8" s="131"/>
      <c r="N8" s="131"/>
      <c r="O8" s="130"/>
      <c r="P8" s="130"/>
      <c r="Q8" s="130"/>
      <c r="R8" s="132"/>
      <c r="S8" s="130"/>
      <c r="T8" s="130"/>
    </row>
    <row r="9" spans="2:20" s="128" customFormat="1" ht="33.75" customHeight="1" x14ac:dyDescent="0.35">
      <c r="B9" s="129">
        <v>4</v>
      </c>
      <c r="C9" s="130"/>
      <c r="D9" s="129"/>
      <c r="E9" s="130"/>
      <c r="F9" s="130"/>
      <c r="G9" s="130"/>
      <c r="H9" s="130"/>
      <c r="I9" s="129"/>
      <c r="J9" s="131"/>
      <c r="K9" s="131"/>
      <c r="L9" s="131"/>
      <c r="M9" s="131"/>
      <c r="N9" s="131"/>
      <c r="O9" s="130"/>
      <c r="P9" s="130"/>
      <c r="Q9" s="130"/>
      <c r="R9" s="132"/>
      <c r="S9" s="130"/>
      <c r="T9" s="130"/>
    </row>
    <row r="10" spans="2:20" s="128" customFormat="1" ht="33.75" customHeight="1" x14ac:dyDescent="0.35">
      <c r="B10" s="129">
        <v>5</v>
      </c>
      <c r="C10" s="130"/>
      <c r="D10" s="129"/>
      <c r="E10" s="130"/>
      <c r="F10" s="130"/>
      <c r="G10" s="130"/>
      <c r="H10" s="130"/>
      <c r="I10" s="129"/>
      <c r="J10" s="131"/>
      <c r="K10" s="131"/>
      <c r="L10" s="131"/>
      <c r="M10" s="131"/>
      <c r="N10" s="131"/>
      <c r="O10" s="130"/>
      <c r="P10" s="130"/>
      <c r="Q10" s="130"/>
      <c r="R10" s="130"/>
      <c r="S10" s="130"/>
      <c r="T10" s="130"/>
    </row>
    <row r="11" spans="2:20" s="128" customFormat="1" ht="33.75" customHeight="1" x14ac:dyDescent="0.35">
      <c r="B11" s="129">
        <v>6</v>
      </c>
      <c r="C11" s="130"/>
      <c r="D11" s="129"/>
      <c r="E11" s="130"/>
      <c r="F11" s="130"/>
      <c r="G11" s="130"/>
      <c r="H11" s="130"/>
      <c r="I11" s="129"/>
      <c r="J11" s="131"/>
      <c r="K11" s="131"/>
      <c r="L11" s="131"/>
      <c r="M11" s="131"/>
      <c r="N11" s="130"/>
      <c r="O11" s="130"/>
      <c r="P11" s="130"/>
      <c r="Q11" s="130"/>
      <c r="R11" s="130"/>
      <c r="S11" s="130"/>
      <c r="T11" s="130"/>
    </row>
    <row r="12" spans="2:20" s="128" customFormat="1" ht="33.75" customHeight="1" x14ac:dyDescent="0.35">
      <c r="B12" s="129">
        <v>7</v>
      </c>
      <c r="C12" s="130"/>
      <c r="D12" s="129"/>
      <c r="E12" s="130"/>
      <c r="F12" s="130"/>
      <c r="G12" s="130"/>
      <c r="H12" s="130"/>
      <c r="I12" s="129"/>
      <c r="J12" s="131"/>
      <c r="K12" s="131"/>
      <c r="L12" s="131"/>
      <c r="M12" s="131"/>
      <c r="N12" s="130"/>
      <c r="O12" s="130"/>
      <c r="P12" s="130"/>
      <c r="Q12" s="130"/>
      <c r="R12" s="130"/>
      <c r="S12" s="130"/>
      <c r="T12" s="130"/>
    </row>
    <row r="13" spans="2:20" s="128" customFormat="1" ht="33.75" customHeight="1" x14ac:dyDescent="0.35">
      <c r="B13" s="129">
        <v>8</v>
      </c>
      <c r="C13" s="130"/>
      <c r="D13" s="129"/>
      <c r="E13" s="130"/>
      <c r="F13" s="130"/>
      <c r="G13" s="130"/>
      <c r="H13" s="130"/>
      <c r="I13" s="129"/>
      <c r="J13" s="131"/>
      <c r="K13" s="131"/>
      <c r="L13" s="131"/>
      <c r="M13" s="131"/>
      <c r="N13" s="131"/>
      <c r="O13" s="131"/>
      <c r="P13" s="130"/>
      <c r="Q13" s="130"/>
      <c r="R13" s="132"/>
      <c r="S13" s="130"/>
      <c r="T13" s="130"/>
    </row>
    <row r="14" spans="2:20" s="128" customFormat="1" ht="33.75" customHeight="1" x14ac:dyDescent="0.35">
      <c r="B14" s="129">
        <v>9</v>
      </c>
      <c r="C14" s="130"/>
      <c r="D14" s="129"/>
      <c r="E14" s="130"/>
      <c r="F14" s="130"/>
      <c r="G14" s="130"/>
      <c r="H14" s="130"/>
      <c r="I14" s="129"/>
      <c r="J14" s="131"/>
      <c r="K14" s="131"/>
      <c r="L14" s="130"/>
      <c r="M14" s="130"/>
      <c r="N14" s="130"/>
      <c r="O14" s="130"/>
      <c r="P14" s="130"/>
      <c r="Q14" s="130"/>
      <c r="R14" s="130"/>
      <c r="S14" s="130"/>
      <c r="T14" s="130"/>
    </row>
    <row r="15" spans="2:20" s="128" customFormat="1" ht="33.75" customHeight="1" x14ac:dyDescent="0.35">
      <c r="B15" s="129">
        <v>10</v>
      </c>
      <c r="C15" s="130"/>
      <c r="D15" s="129"/>
      <c r="E15" s="130"/>
      <c r="F15" s="130"/>
      <c r="G15" s="130"/>
      <c r="H15" s="130"/>
      <c r="I15" s="129"/>
      <c r="J15" s="131"/>
      <c r="K15" s="130"/>
      <c r="L15" s="130"/>
      <c r="M15" s="130"/>
      <c r="N15" s="130"/>
      <c r="O15" s="130"/>
      <c r="P15" s="130"/>
      <c r="Q15" s="130"/>
      <c r="R15" s="130"/>
      <c r="S15" s="130"/>
      <c r="T15" s="130"/>
    </row>
    <row r="16" spans="2:20" s="128" customFormat="1" ht="33.75" customHeight="1" x14ac:dyDescent="0.35">
      <c r="B16" s="129">
        <v>11</v>
      </c>
      <c r="C16" s="130"/>
      <c r="D16" s="129"/>
      <c r="E16" s="130"/>
      <c r="F16" s="130"/>
      <c r="G16" s="130"/>
      <c r="H16" s="130"/>
      <c r="I16" s="129"/>
      <c r="J16" s="131"/>
      <c r="K16" s="131"/>
      <c r="L16" s="130"/>
      <c r="M16" s="130"/>
      <c r="N16" s="130"/>
      <c r="O16" s="130"/>
      <c r="P16" s="130"/>
      <c r="Q16" s="130"/>
      <c r="R16" s="132"/>
      <c r="S16" s="130"/>
      <c r="T16" s="130"/>
    </row>
    <row r="17" spans="2:20" s="128" customFormat="1" ht="33.75" customHeight="1" x14ac:dyDescent="0.35">
      <c r="B17" s="129">
        <v>12</v>
      </c>
      <c r="C17" s="130"/>
      <c r="D17" s="129"/>
      <c r="E17" s="130"/>
      <c r="F17" s="130"/>
      <c r="G17" s="130"/>
      <c r="H17" s="130"/>
      <c r="I17" s="129"/>
      <c r="J17" s="131"/>
      <c r="K17" s="130"/>
      <c r="L17" s="130"/>
      <c r="M17" s="130"/>
      <c r="N17" s="130"/>
      <c r="O17" s="130"/>
      <c r="P17" s="130"/>
      <c r="Q17" s="130"/>
      <c r="R17" s="130"/>
      <c r="S17" s="130"/>
      <c r="T17" s="130"/>
    </row>
    <row r="18" spans="2:20" s="128" customFormat="1" ht="33.75" customHeight="1" x14ac:dyDescent="0.35">
      <c r="B18" s="133"/>
      <c r="C18" s="134"/>
      <c r="D18" s="133"/>
      <c r="E18" s="134"/>
      <c r="F18" s="134"/>
      <c r="G18" s="134"/>
      <c r="H18" s="134"/>
      <c r="I18" s="133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</row>
    <row r="19" spans="2:20" ht="17.25" customHeight="1" x14ac:dyDescent="0.35">
      <c r="B19" s="340"/>
      <c r="H19" s="135" t="s">
        <v>161</v>
      </c>
      <c r="I19" s="136"/>
      <c r="J19" s="137"/>
      <c r="K19" s="137"/>
      <c r="L19" s="137"/>
      <c r="M19" s="137"/>
      <c r="N19" s="137"/>
      <c r="O19" s="137"/>
      <c r="P19" s="137"/>
      <c r="Q19" s="137"/>
    </row>
    <row r="20" spans="2:20" ht="17.25" customHeight="1" x14ac:dyDescent="0.35">
      <c r="B20" s="376" t="s">
        <v>162</v>
      </c>
      <c r="F20" s="377" t="s">
        <v>163</v>
      </c>
      <c r="G20" s="377"/>
      <c r="H20" s="377"/>
      <c r="I20" s="377"/>
      <c r="P20" s="342"/>
    </row>
    <row r="21" spans="2:20" ht="17.25" customHeight="1" x14ac:dyDescent="0.35">
      <c r="B21" s="340" t="s">
        <v>164</v>
      </c>
      <c r="C21" s="378" t="s">
        <v>165</v>
      </c>
      <c r="D21" s="378"/>
      <c r="F21" s="378" t="s">
        <v>166</v>
      </c>
      <c r="G21" s="378"/>
      <c r="H21" s="378"/>
      <c r="I21" s="378"/>
      <c r="P21" s="342"/>
    </row>
    <row r="22" spans="2:20" ht="17.25" customHeight="1" x14ac:dyDescent="0.35">
      <c r="B22" s="340" t="s">
        <v>167</v>
      </c>
      <c r="C22" s="378" t="s">
        <v>168</v>
      </c>
      <c r="D22" s="378"/>
      <c r="F22" s="378" t="s">
        <v>169</v>
      </c>
      <c r="G22" s="378"/>
      <c r="H22" s="378"/>
      <c r="I22" s="378"/>
      <c r="P22" s="342"/>
    </row>
    <row r="23" spans="2:20" ht="17.25" customHeight="1" x14ac:dyDescent="0.35">
      <c r="B23" s="340" t="s">
        <v>170</v>
      </c>
      <c r="C23" s="378" t="s">
        <v>171</v>
      </c>
      <c r="D23" s="378"/>
      <c r="F23" s="378" t="s">
        <v>172</v>
      </c>
      <c r="G23" s="378"/>
      <c r="H23" s="378"/>
      <c r="I23" s="378"/>
      <c r="P23" s="342"/>
    </row>
    <row r="24" spans="2:20" ht="17.25" customHeight="1" x14ac:dyDescent="0.35">
      <c r="B24" s="340" t="s">
        <v>173</v>
      </c>
      <c r="C24" s="378" t="s">
        <v>174</v>
      </c>
      <c r="D24" s="378"/>
      <c r="F24" s="378" t="s">
        <v>175</v>
      </c>
      <c r="G24" s="378"/>
      <c r="H24" s="378"/>
      <c r="I24" s="378"/>
      <c r="P24" s="342"/>
    </row>
    <row r="25" spans="2:20" ht="17.25" customHeight="1" x14ac:dyDescent="0.35">
      <c r="B25" s="340" t="s">
        <v>176</v>
      </c>
      <c r="C25" s="378" t="s">
        <v>177</v>
      </c>
      <c r="D25" s="378"/>
      <c r="F25" s="378" t="s">
        <v>178</v>
      </c>
      <c r="G25" s="378"/>
      <c r="H25" s="378"/>
      <c r="I25" s="378"/>
      <c r="P25" s="342"/>
    </row>
    <row r="26" spans="2:20" ht="17.25" customHeight="1" x14ac:dyDescent="0.35">
      <c r="B26" s="340" t="s">
        <v>179</v>
      </c>
      <c r="C26" s="378" t="s">
        <v>180</v>
      </c>
      <c r="D26" s="378"/>
      <c r="F26" s="378" t="s">
        <v>181</v>
      </c>
      <c r="G26" s="378"/>
      <c r="H26" s="378"/>
      <c r="I26" s="378"/>
      <c r="P26" s="342"/>
    </row>
    <row r="27" spans="2:20" ht="17.25" customHeight="1" x14ac:dyDescent="0.35">
      <c r="B27" s="340" t="s">
        <v>182</v>
      </c>
      <c r="C27" s="378" t="s">
        <v>183</v>
      </c>
      <c r="D27" s="378"/>
      <c r="F27" s="378" t="s">
        <v>184</v>
      </c>
      <c r="G27" s="378"/>
      <c r="H27" s="378"/>
      <c r="I27" s="378"/>
      <c r="P27" s="342"/>
    </row>
    <row r="28" spans="2:20" ht="17.25" customHeight="1" x14ac:dyDescent="0.35">
      <c r="B28" s="340" t="s">
        <v>185</v>
      </c>
      <c r="C28" s="378" t="s">
        <v>186</v>
      </c>
      <c r="D28" s="378"/>
      <c r="P28" s="342"/>
    </row>
    <row r="29" spans="2:20" ht="17.25" customHeight="1" x14ac:dyDescent="0.35">
      <c r="B29" s="340"/>
      <c r="P29" s="342"/>
    </row>
    <row r="30" spans="2:20" ht="17.25" customHeight="1" x14ac:dyDescent="0.35">
      <c r="B30" s="340"/>
      <c r="P30" s="342"/>
    </row>
    <row r="31" spans="2:20" ht="17.25" customHeight="1" x14ac:dyDescent="0.35">
      <c r="B31" s="340"/>
      <c r="P31" s="342"/>
    </row>
    <row r="32" spans="2:20" ht="17.25" customHeight="1" x14ac:dyDescent="0.35">
      <c r="B32" s="340"/>
      <c r="P32" s="342"/>
    </row>
    <row r="33" spans="2:16" ht="17.25" customHeight="1" x14ac:dyDescent="0.35">
      <c r="B33" s="340"/>
      <c r="P33" s="342"/>
    </row>
    <row r="34" spans="2:16" ht="17.25" customHeight="1" x14ac:dyDescent="0.35">
      <c r="B34" s="340"/>
      <c r="P34" s="342"/>
    </row>
    <row r="35" spans="2:16" ht="17.25" customHeight="1" x14ac:dyDescent="0.35">
      <c r="B35" s="340"/>
      <c r="P35" s="342"/>
    </row>
    <row r="36" spans="2:16" ht="17.25" customHeight="1" x14ac:dyDescent="0.35">
      <c r="B36" s="340"/>
      <c r="P36" s="342"/>
    </row>
    <row r="37" spans="2:16" ht="17.25" customHeight="1" x14ac:dyDescent="0.35">
      <c r="B37" s="340"/>
      <c r="P37" s="342"/>
    </row>
    <row r="38" spans="2:16" ht="17.25" customHeight="1" x14ac:dyDescent="0.35">
      <c r="B38" s="340"/>
      <c r="P38" s="342"/>
    </row>
    <row r="39" spans="2:16" ht="17.25" customHeight="1" x14ac:dyDescent="0.35">
      <c r="B39" s="340"/>
      <c r="P39" s="342"/>
    </row>
    <row r="40" spans="2:16" ht="17.25" customHeight="1" x14ac:dyDescent="0.35">
      <c r="B40" s="340"/>
      <c r="P40" s="342"/>
    </row>
    <row r="41" spans="2:16" ht="17.25" customHeight="1" x14ac:dyDescent="0.35">
      <c r="B41" s="340"/>
      <c r="P41" s="342"/>
    </row>
    <row r="42" spans="2:16" ht="17.25" customHeight="1" x14ac:dyDescent="0.35">
      <c r="B42" s="340"/>
      <c r="P42" s="342"/>
    </row>
    <row r="43" spans="2:16" ht="17.25" customHeight="1" x14ac:dyDescent="0.35">
      <c r="B43" s="340"/>
      <c r="P43" s="342"/>
    </row>
    <row r="44" spans="2:16" ht="17.25" customHeight="1" x14ac:dyDescent="0.35">
      <c r="B44" s="340"/>
      <c r="P44" s="342"/>
    </row>
    <row r="45" spans="2:16" ht="17.25" customHeight="1" x14ac:dyDescent="0.35">
      <c r="B45" s="340"/>
      <c r="P45" s="342"/>
    </row>
    <row r="46" spans="2:16" ht="17.25" customHeight="1" x14ac:dyDescent="0.35">
      <c r="B46" s="340"/>
      <c r="P46" s="342"/>
    </row>
    <row r="47" spans="2:16" ht="17.25" customHeight="1" x14ac:dyDescent="0.35">
      <c r="B47" s="340"/>
      <c r="P47" s="342"/>
    </row>
    <row r="48" spans="2:16" ht="17.25" customHeight="1" x14ac:dyDescent="0.35">
      <c r="B48" s="340"/>
      <c r="P48" s="342"/>
    </row>
    <row r="49" spans="2:16" ht="17.25" customHeight="1" x14ac:dyDescent="0.35">
      <c r="B49" s="340"/>
      <c r="P49" s="342"/>
    </row>
    <row r="50" spans="2:16" ht="17.25" customHeight="1" x14ac:dyDescent="0.35">
      <c r="B50" s="340"/>
      <c r="P50" s="342"/>
    </row>
    <row r="51" spans="2:16" ht="17.25" customHeight="1" x14ac:dyDescent="0.35">
      <c r="B51" s="340"/>
      <c r="P51" s="342"/>
    </row>
    <row r="52" spans="2:16" ht="17.25" customHeight="1" x14ac:dyDescent="0.35">
      <c r="B52" s="340"/>
      <c r="P52" s="342"/>
    </row>
    <row r="53" spans="2:16" ht="17.25" customHeight="1" x14ac:dyDescent="0.35">
      <c r="B53" s="340"/>
      <c r="P53" s="342"/>
    </row>
    <row r="54" spans="2:16" ht="17.25" customHeight="1" x14ac:dyDescent="0.35">
      <c r="B54" s="340"/>
      <c r="P54" s="342"/>
    </row>
    <row r="55" spans="2:16" ht="17.25" customHeight="1" x14ac:dyDescent="0.35">
      <c r="B55" s="340"/>
      <c r="P55" s="342"/>
    </row>
    <row r="56" spans="2:16" ht="17.25" customHeight="1" x14ac:dyDescent="0.35">
      <c r="B56" s="340"/>
      <c r="P56" s="342"/>
    </row>
    <row r="57" spans="2:16" ht="17.25" customHeight="1" x14ac:dyDescent="0.35">
      <c r="B57" s="340"/>
      <c r="P57" s="342"/>
    </row>
    <row r="58" spans="2:16" ht="17.25" customHeight="1" x14ac:dyDescent="0.35">
      <c r="B58" s="340"/>
      <c r="P58" s="342"/>
    </row>
    <row r="59" spans="2:16" ht="17.25" customHeight="1" x14ac:dyDescent="0.35">
      <c r="B59" s="340"/>
      <c r="P59" s="342"/>
    </row>
    <row r="60" spans="2:16" ht="17.25" customHeight="1" x14ac:dyDescent="0.35">
      <c r="B60" s="340"/>
      <c r="P60" s="342"/>
    </row>
    <row r="61" spans="2:16" ht="17.25" customHeight="1" x14ac:dyDescent="0.35">
      <c r="B61" s="340"/>
      <c r="P61" s="342"/>
    </row>
    <row r="62" spans="2:16" ht="17.25" customHeight="1" x14ac:dyDescent="0.35">
      <c r="B62" s="340"/>
      <c r="P62" s="342"/>
    </row>
    <row r="63" spans="2:16" ht="17.25" customHeight="1" x14ac:dyDescent="0.35">
      <c r="B63" s="340"/>
      <c r="P63" s="342"/>
    </row>
    <row r="64" spans="2:16" ht="17.25" customHeight="1" x14ac:dyDescent="0.35">
      <c r="B64" s="340"/>
      <c r="P64" s="342"/>
    </row>
    <row r="65" spans="2:16" ht="17.25" customHeight="1" x14ac:dyDescent="0.35">
      <c r="B65" s="340"/>
      <c r="P65" s="342"/>
    </row>
    <row r="66" spans="2:16" ht="17.25" customHeight="1" x14ac:dyDescent="0.35">
      <c r="B66" s="351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3"/>
    </row>
  </sheetData>
  <mergeCells count="12">
    <mergeCell ref="T4:T5"/>
    <mergeCell ref="G1:G2"/>
    <mergeCell ref="B4:B5"/>
    <mergeCell ref="C4:C5"/>
    <mergeCell ref="D4:D5"/>
    <mergeCell ref="E4:E5"/>
    <mergeCell ref="F4:G4"/>
    <mergeCell ref="H4:H5"/>
    <mergeCell ref="I4:I5"/>
    <mergeCell ref="J4:Q4"/>
    <mergeCell ref="R4:R5"/>
    <mergeCell ref="S4:S5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9C11-5839-4ED1-952D-E60410C06F93}">
  <dimension ref="A2:AE66"/>
  <sheetViews>
    <sheetView tabSelected="1" workbookViewId="0">
      <pane xSplit="1" ySplit="7" topLeftCell="B9" activePane="bottomRight" state="frozen"/>
      <selection activeCell="B1" sqref="B1:T18"/>
      <selection pane="topRight" activeCell="B1" sqref="B1:T18"/>
      <selection pane="bottomLeft" activeCell="B1" sqref="B1:T18"/>
      <selection pane="bottomRight" activeCell="B13" sqref="B13"/>
    </sheetView>
  </sheetViews>
  <sheetFormatPr defaultColWidth="8.90625" defaultRowHeight="14.5" x14ac:dyDescent="0.35"/>
  <cols>
    <col min="1" max="1" width="33.453125" style="8" customWidth="1"/>
    <col min="2" max="31" width="25.81640625" style="8" customWidth="1"/>
    <col min="32" max="16384" width="8.90625" style="8"/>
  </cols>
  <sheetData>
    <row r="2" spans="1:3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1:31" ht="19" x14ac:dyDescent="0.4">
      <c r="B3" s="374" t="s">
        <v>187</v>
      </c>
      <c r="C3" s="375"/>
      <c r="D3" s="375"/>
      <c r="E3" s="375"/>
      <c r="F3" s="375"/>
      <c r="G3" s="375"/>
      <c r="H3" s="375"/>
      <c r="P3" s="9"/>
    </row>
    <row r="4" spans="1:31" x14ac:dyDescent="0.35">
      <c r="B4" s="7"/>
      <c r="P4" s="9"/>
    </row>
    <row r="5" spans="1:31" x14ac:dyDescent="0.35">
      <c r="B5" s="7"/>
      <c r="P5" s="9"/>
    </row>
    <row r="6" spans="1:31" x14ac:dyDescent="0.35">
      <c r="A6" s="673" t="s">
        <v>0</v>
      </c>
      <c r="B6" s="674" t="s">
        <v>132</v>
      </c>
      <c r="C6" s="674"/>
      <c r="D6" s="674"/>
      <c r="E6" s="674"/>
      <c r="F6" s="669" t="s">
        <v>133</v>
      </c>
      <c r="G6" s="669"/>
      <c r="H6" s="669"/>
      <c r="I6" s="669"/>
      <c r="J6" s="669" t="s">
        <v>134</v>
      </c>
      <c r="K6" s="669"/>
      <c r="L6" s="669"/>
      <c r="M6" s="669"/>
      <c r="N6" s="669"/>
      <c r="O6" s="669" t="s">
        <v>135</v>
      </c>
      <c r="P6" s="669"/>
      <c r="Q6" s="669"/>
      <c r="R6" s="669"/>
      <c r="S6" s="669" t="s">
        <v>136</v>
      </c>
      <c r="T6" s="669"/>
      <c r="U6" s="669"/>
      <c r="V6" s="669"/>
      <c r="W6" s="669" t="s">
        <v>137</v>
      </c>
      <c r="X6" s="669"/>
      <c r="Y6" s="669"/>
      <c r="Z6" s="669"/>
      <c r="AA6" s="669"/>
      <c r="AB6" s="669" t="s">
        <v>138</v>
      </c>
      <c r="AC6" s="669"/>
      <c r="AD6" s="669"/>
      <c r="AE6" s="669"/>
    </row>
    <row r="7" spans="1:31" x14ac:dyDescent="0.35">
      <c r="A7" s="673"/>
      <c r="B7" s="138" t="s">
        <v>139</v>
      </c>
      <c r="C7" s="138" t="s">
        <v>140</v>
      </c>
      <c r="D7" s="138" t="s">
        <v>141</v>
      </c>
      <c r="E7" s="138" t="s">
        <v>142</v>
      </c>
      <c r="F7" s="120" t="s">
        <v>139</v>
      </c>
      <c r="G7" s="120" t="s">
        <v>140</v>
      </c>
      <c r="H7" s="120" t="s">
        <v>141</v>
      </c>
      <c r="I7" s="120" t="s">
        <v>142</v>
      </c>
      <c r="J7" s="120" t="s">
        <v>139</v>
      </c>
      <c r="K7" s="120" t="s">
        <v>140</v>
      </c>
      <c r="L7" s="120" t="s">
        <v>141</v>
      </c>
      <c r="M7" s="120" t="s">
        <v>142</v>
      </c>
      <c r="N7" s="120" t="s">
        <v>143</v>
      </c>
      <c r="O7" s="120" t="s">
        <v>139</v>
      </c>
      <c r="P7" s="120" t="s">
        <v>140</v>
      </c>
      <c r="Q7" s="120" t="s">
        <v>141</v>
      </c>
      <c r="R7" s="120" t="s">
        <v>142</v>
      </c>
      <c r="S7" s="120" t="s">
        <v>139</v>
      </c>
      <c r="T7" s="120" t="s">
        <v>140</v>
      </c>
      <c r="U7" s="120" t="s">
        <v>141</v>
      </c>
      <c r="V7" s="120" t="s">
        <v>142</v>
      </c>
      <c r="W7" s="120" t="s">
        <v>139</v>
      </c>
      <c r="X7" s="120" t="s">
        <v>140</v>
      </c>
      <c r="Y7" s="120" t="s">
        <v>141</v>
      </c>
      <c r="Z7" s="120" t="s">
        <v>142</v>
      </c>
      <c r="AA7" s="120" t="s">
        <v>143</v>
      </c>
      <c r="AB7" s="120" t="s">
        <v>139</v>
      </c>
      <c r="AC7" s="120" t="s">
        <v>140</v>
      </c>
      <c r="AD7" s="120" t="s">
        <v>141</v>
      </c>
      <c r="AE7" s="120" t="s">
        <v>142</v>
      </c>
    </row>
    <row r="8" spans="1:31" ht="100" customHeight="1" x14ac:dyDescent="0.35">
      <c r="A8" s="67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x14ac:dyDescent="0.35">
      <c r="A9" s="671"/>
      <c r="B9" s="16" t="s">
        <v>144</v>
      </c>
      <c r="C9" s="16" t="s">
        <v>144</v>
      </c>
      <c r="D9" s="16" t="s">
        <v>144</v>
      </c>
      <c r="E9" s="16" t="s">
        <v>144</v>
      </c>
      <c r="F9" s="16" t="s">
        <v>144</v>
      </c>
      <c r="G9" s="16" t="s">
        <v>144</v>
      </c>
      <c r="H9" s="16" t="s">
        <v>144</v>
      </c>
      <c r="I9" s="16" t="s">
        <v>144</v>
      </c>
      <c r="J9" s="16" t="s">
        <v>144</v>
      </c>
      <c r="K9" s="16" t="s">
        <v>144</v>
      </c>
      <c r="L9" s="16" t="s">
        <v>144</v>
      </c>
      <c r="M9" s="16" t="s">
        <v>144</v>
      </c>
      <c r="N9" s="16" t="s">
        <v>144</v>
      </c>
      <c r="O9" s="16" t="s">
        <v>144</v>
      </c>
      <c r="P9" s="16" t="s">
        <v>144</v>
      </c>
      <c r="Q9" s="16" t="s">
        <v>144</v>
      </c>
      <c r="R9" s="16" t="s">
        <v>144</v>
      </c>
      <c r="S9" s="16" t="s">
        <v>144</v>
      </c>
      <c r="T9" s="16" t="s">
        <v>144</v>
      </c>
      <c r="U9" s="16" t="s">
        <v>144</v>
      </c>
      <c r="V9" s="16" t="s">
        <v>144</v>
      </c>
      <c r="W9" s="16" t="s">
        <v>144</v>
      </c>
      <c r="X9" s="16" t="s">
        <v>144</v>
      </c>
      <c r="Y9" s="16" t="s">
        <v>144</v>
      </c>
      <c r="Z9" s="16" t="s">
        <v>144</v>
      </c>
      <c r="AA9" s="16" t="s">
        <v>144</v>
      </c>
      <c r="AB9" s="16" t="s">
        <v>144</v>
      </c>
      <c r="AC9" s="16" t="s">
        <v>144</v>
      </c>
      <c r="AD9" s="16" t="s">
        <v>144</v>
      </c>
      <c r="AE9" s="16" t="s">
        <v>144</v>
      </c>
    </row>
    <row r="10" spans="1:31" x14ac:dyDescent="0.35">
      <c r="A10" s="672"/>
      <c r="B10" s="16" t="s">
        <v>145</v>
      </c>
      <c r="C10" s="16" t="s">
        <v>145</v>
      </c>
      <c r="D10" s="16" t="s">
        <v>145</v>
      </c>
      <c r="E10" s="16" t="s">
        <v>145</v>
      </c>
      <c r="F10" s="16" t="s">
        <v>145</v>
      </c>
      <c r="G10" s="16" t="s">
        <v>145</v>
      </c>
      <c r="H10" s="16" t="s">
        <v>145</v>
      </c>
      <c r="I10" s="16" t="s">
        <v>145</v>
      </c>
      <c r="J10" s="16" t="s">
        <v>145</v>
      </c>
      <c r="K10" s="16" t="s">
        <v>145</v>
      </c>
      <c r="L10" s="16" t="s">
        <v>145</v>
      </c>
      <c r="M10" s="16" t="s">
        <v>145</v>
      </c>
      <c r="N10" s="16" t="s">
        <v>145</v>
      </c>
      <c r="O10" s="16" t="s">
        <v>145</v>
      </c>
      <c r="P10" s="16" t="s">
        <v>145</v>
      </c>
      <c r="Q10" s="16" t="s">
        <v>145</v>
      </c>
      <c r="R10" s="16" t="s">
        <v>145</v>
      </c>
      <c r="S10" s="16" t="s">
        <v>145</v>
      </c>
      <c r="T10" s="16" t="s">
        <v>145</v>
      </c>
      <c r="U10" s="16" t="s">
        <v>145</v>
      </c>
      <c r="V10" s="16" t="s">
        <v>145</v>
      </c>
      <c r="W10" s="16" t="s">
        <v>145</v>
      </c>
      <c r="X10" s="16" t="s">
        <v>145</v>
      </c>
      <c r="Y10" s="16" t="s">
        <v>145</v>
      </c>
      <c r="Z10" s="16" t="s">
        <v>145</v>
      </c>
      <c r="AA10" s="16" t="s">
        <v>145</v>
      </c>
      <c r="AB10" s="16" t="s">
        <v>145</v>
      </c>
      <c r="AC10" s="16" t="s">
        <v>145</v>
      </c>
      <c r="AD10" s="16" t="s">
        <v>145</v>
      </c>
      <c r="AE10" s="16" t="s">
        <v>145</v>
      </c>
    </row>
    <row r="11" spans="1:31" x14ac:dyDescent="0.35">
      <c r="B11" s="7"/>
      <c r="P11" s="9"/>
    </row>
    <row r="12" spans="1:31" x14ac:dyDescent="0.35">
      <c r="B12" s="7"/>
      <c r="P12" s="9"/>
    </row>
    <row r="13" spans="1:31" x14ac:dyDescent="0.35">
      <c r="A13" s="8" t="s">
        <v>21</v>
      </c>
      <c r="B13" s="7" t="s">
        <v>146</v>
      </c>
      <c r="D13" s="8" t="s">
        <v>22</v>
      </c>
      <c r="P13" s="9"/>
    </row>
    <row r="14" spans="1:31" x14ac:dyDescent="0.35">
      <c r="B14" s="7"/>
      <c r="P14" s="9"/>
    </row>
    <row r="15" spans="1:31" x14ac:dyDescent="0.35">
      <c r="B15" s="7"/>
      <c r="P15" s="9"/>
    </row>
    <row r="16" spans="1:31" x14ac:dyDescent="0.35">
      <c r="B16" s="7"/>
      <c r="P16" s="9"/>
    </row>
    <row r="17" spans="2:16" x14ac:dyDescent="0.35">
      <c r="B17" s="7"/>
      <c r="P17" s="9"/>
    </row>
    <row r="18" spans="2:16" x14ac:dyDescent="0.35">
      <c r="B18" s="7"/>
      <c r="P18" s="9"/>
    </row>
    <row r="19" spans="2:16" x14ac:dyDescent="0.35">
      <c r="B19" s="1" t="s">
        <v>147</v>
      </c>
      <c r="D19" s="2" t="s">
        <v>148</v>
      </c>
      <c r="P19" s="9"/>
    </row>
    <row r="20" spans="2:16" x14ac:dyDescent="0.35">
      <c r="B20" s="7"/>
      <c r="P20" s="9"/>
    </row>
    <row r="21" spans="2:16" x14ac:dyDescent="0.35">
      <c r="B21" s="7"/>
      <c r="P21" s="9"/>
    </row>
    <row r="22" spans="2:16" x14ac:dyDescent="0.35">
      <c r="B22" s="7"/>
      <c r="P22" s="9"/>
    </row>
    <row r="23" spans="2:16" x14ac:dyDescent="0.35">
      <c r="B23" s="7"/>
      <c r="P23" s="9"/>
    </row>
    <row r="24" spans="2:16" x14ac:dyDescent="0.35">
      <c r="B24" s="7"/>
      <c r="P24" s="9"/>
    </row>
    <row r="25" spans="2:16" x14ac:dyDescent="0.35">
      <c r="B25" s="7"/>
      <c r="P25" s="9"/>
    </row>
    <row r="26" spans="2:16" x14ac:dyDescent="0.35">
      <c r="B26" s="7"/>
      <c r="P26" s="9"/>
    </row>
    <row r="27" spans="2:16" x14ac:dyDescent="0.35">
      <c r="B27" s="7"/>
      <c r="P27" s="9"/>
    </row>
    <row r="28" spans="2:16" x14ac:dyDescent="0.35">
      <c r="B28" s="7"/>
      <c r="P28" s="9"/>
    </row>
    <row r="29" spans="2:16" x14ac:dyDescent="0.35">
      <c r="B29" s="7"/>
      <c r="P29" s="9"/>
    </row>
    <row r="30" spans="2:16" x14ac:dyDescent="0.35">
      <c r="B30" s="7"/>
      <c r="P30" s="9"/>
    </row>
    <row r="31" spans="2:16" x14ac:dyDescent="0.35">
      <c r="B31" s="7"/>
      <c r="P31" s="9"/>
    </row>
    <row r="32" spans="2:16" x14ac:dyDescent="0.35">
      <c r="B32" s="7"/>
      <c r="P32" s="9"/>
    </row>
    <row r="33" spans="2:16" x14ac:dyDescent="0.35">
      <c r="B33" s="7"/>
      <c r="P33" s="9"/>
    </row>
    <row r="34" spans="2:16" x14ac:dyDescent="0.35">
      <c r="B34" s="7"/>
      <c r="P34" s="9"/>
    </row>
    <row r="35" spans="2:16" x14ac:dyDescent="0.35">
      <c r="B35" s="7"/>
      <c r="P35" s="9"/>
    </row>
    <row r="36" spans="2:16" x14ac:dyDescent="0.35">
      <c r="B36" s="7"/>
      <c r="P36" s="9"/>
    </row>
    <row r="37" spans="2:16" x14ac:dyDescent="0.35">
      <c r="B37" s="7"/>
      <c r="P37" s="9"/>
    </row>
    <row r="38" spans="2:16" x14ac:dyDescent="0.35">
      <c r="B38" s="7"/>
      <c r="P38" s="9"/>
    </row>
    <row r="39" spans="2:16" x14ac:dyDescent="0.35">
      <c r="B39" s="7"/>
      <c r="P39" s="9"/>
    </row>
    <row r="40" spans="2:16" x14ac:dyDescent="0.35">
      <c r="B40" s="7"/>
      <c r="P40" s="9"/>
    </row>
    <row r="41" spans="2:16" x14ac:dyDescent="0.35">
      <c r="B41" s="7"/>
      <c r="P41" s="9"/>
    </row>
    <row r="42" spans="2:16" x14ac:dyDescent="0.35">
      <c r="B42" s="7"/>
      <c r="P42" s="9"/>
    </row>
    <row r="43" spans="2:16" x14ac:dyDescent="0.35">
      <c r="B43" s="7"/>
      <c r="P43" s="9"/>
    </row>
    <row r="44" spans="2:16" x14ac:dyDescent="0.35">
      <c r="B44" s="7"/>
      <c r="P44" s="9"/>
    </row>
    <row r="45" spans="2:16" x14ac:dyDescent="0.35">
      <c r="B45" s="7"/>
      <c r="P45" s="9"/>
    </row>
    <row r="46" spans="2:16" x14ac:dyDescent="0.35">
      <c r="B46" s="7"/>
      <c r="P46" s="9"/>
    </row>
    <row r="47" spans="2:16" x14ac:dyDescent="0.35">
      <c r="B47" s="7"/>
      <c r="P47" s="9"/>
    </row>
    <row r="48" spans="2:16" x14ac:dyDescent="0.35">
      <c r="B48" s="7"/>
      <c r="P48" s="9"/>
    </row>
    <row r="49" spans="2:16" x14ac:dyDescent="0.35">
      <c r="B49" s="7"/>
      <c r="P49" s="9"/>
    </row>
    <row r="50" spans="2:16" x14ac:dyDescent="0.35">
      <c r="B50" s="7"/>
      <c r="P50" s="9"/>
    </row>
    <row r="51" spans="2:16" x14ac:dyDescent="0.35">
      <c r="B51" s="7"/>
      <c r="P51" s="9"/>
    </row>
    <row r="52" spans="2:16" x14ac:dyDescent="0.35">
      <c r="B52" s="7"/>
      <c r="P52" s="9"/>
    </row>
    <row r="53" spans="2:16" x14ac:dyDescent="0.35">
      <c r="B53" s="7"/>
      <c r="P53" s="9"/>
    </row>
    <row r="54" spans="2:16" x14ac:dyDescent="0.35">
      <c r="B54" s="7"/>
      <c r="P54" s="9"/>
    </row>
    <row r="55" spans="2:16" x14ac:dyDescent="0.35">
      <c r="B55" s="7"/>
      <c r="P55" s="9"/>
    </row>
    <row r="56" spans="2:16" x14ac:dyDescent="0.35">
      <c r="B56" s="7"/>
      <c r="P56" s="9"/>
    </row>
    <row r="57" spans="2:16" x14ac:dyDescent="0.35">
      <c r="B57" s="7"/>
      <c r="P57" s="9"/>
    </row>
    <row r="58" spans="2:16" x14ac:dyDescent="0.35">
      <c r="B58" s="7"/>
      <c r="P58" s="9"/>
    </row>
    <row r="59" spans="2:16" x14ac:dyDescent="0.35">
      <c r="B59" s="7"/>
      <c r="P59" s="9"/>
    </row>
    <row r="60" spans="2:16" x14ac:dyDescent="0.35">
      <c r="B60" s="7"/>
      <c r="P60" s="9"/>
    </row>
    <row r="61" spans="2:16" x14ac:dyDescent="0.35">
      <c r="B61" s="7"/>
      <c r="P61" s="9"/>
    </row>
    <row r="62" spans="2:16" x14ac:dyDescent="0.35">
      <c r="B62" s="7"/>
      <c r="P62" s="9"/>
    </row>
    <row r="63" spans="2:16" x14ac:dyDescent="0.35">
      <c r="B63" s="7"/>
      <c r="P63" s="9"/>
    </row>
    <row r="64" spans="2:16" x14ac:dyDescent="0.35">
      <c r="B64" s="7"/>
      <c r="P64" s="9"/>
    </row>
    <row r="65" spans="2:16" x14ac:dyDescent="0.35">
      <c r="B65" s="7"/>
      <c r="P65" s="9"/>
    </row>
    <row r="66" spans="2:16" x14ac:dyDescent="0.35"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</sheetData>
  <mergeCells count="9">
    <mergeCell ref="W6:AA6"/>
    <mergeCell ref="AB6:AE6"/>
    <mergeCell ref="A8:A10"/>
    <mergeCell ref="A6:A7"/>
    <mergeCell ref="B6:E6"/>
    <mergeCell ref="F6:I6"/>
    <mergeCell ref="J6:N6"/>
    <mergeCell ref="O6:R6"/>
    <mergeCell ref="S6:V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E3E7-4630-4BE6-B472-E71144DCA967}">
  <sheetPr>
    <pageSetUpPr fitToPage="1"/>
  </sheetPr>
  <dimension ref="B1:P66"/>
  <sheetViews>
    <sheetView topLeftCell="A29" zoomScaleNormal="100" workbookViewId="0">
      <selection activeCell="B1" sqref="B1:T19"/>
    </sheetView>
  </sheetViews>
  <sheetFormatPr defaultColWidth="8.90625" defaultRowHeight="20.149999999999999" customHeight="1" x14ac:dyDescent="0.35"/>
  <cols>
    <col min="1" max="1" width="8.90625" style="8"/>
    <col min="2" max="2" width="6.54296875" style="8" customWidth="1"/>
    <col min="3" max="3" width="23.54296875" style="8" customWidth="1"/>
    <col min="4" max="4" width="27.453125" style="8" customWidth="1"/>
    <col min="5" max="5" width="17.90625" style="8" customWidth="1"/>
    <col min="6" max="6" width="16.54296875" style="8" customWidth="1"/>
    <col min="7" max="16384" width="8.90625" style="8"/>
  </cols>
  <sheetData>
    <row r="1" spans="2:16" ht="12.65" customHeight="1" x14ac:dyDescent="0.35"/>
    <row r="2" spans="2:16" ht="20.149999999999999" customHeight="1" x14ac:dyDescent="0.35">
      <c r="B2" s="678"/>
      <c r="C2" s="678"/>
      <c r="D2" s="680" t="s">
        <v>126</v>
      </c>
      <c r="E2" s="680"/>
      <c r="F2" s="680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ht="46.75" customHeight="1" x14ac:dyDescent="0.35">
      <c r="B3" s="679"/>
      <c r="C3" s="679"/>
      <c r="D3" s="681" t="s">
        <v>127</v>
      </c>
      <c r="E3" s="681"/>
      <c r="F3" s="681"/>
      <c r="P3" s="9"/>
    </row>
    <row r="4" spans="2:16" ht="25.5" customHeight="1" x14ac:dyDescent="0.35">
      <c r="B4" s="682" t="s">
        <v>128</v>
      </c>
      <c r="C4" s="683"/>
      <c r="D4" s="683"/>
      <c r="E4" s="112"/>
      <c r="F4" s="113"/>
      <c r="P4" s="9"/>
    </row>
    <row r="5" spans="2:16" ht="25.5" customHeight="1" x14ac:dyDescent="0.35">
      <c r="B5" s="114" t="s">
        <v>0</v>
      </c>
      <c r="C5" s="372" t="s">
        <v>130</v>
      </c>
      <c r="D5" s="372"/>
      <c r="E5" s="373"/>
      <c r="F5" s="115"/>
      <c r="P5" s="9"/>
    </row>
    <row r="6" spans="2:16" ht="25.5" customHeight="1" x14ac:dyDescent="0.35">
      <c r="B6" s="684" t="s">
        <v>131</v>
      </c>
      <c r="C6" s="685"/>
      <c r="D6" s="685"/>
      <c r="E6" s="116"/>
      <c r="F6" s="117"/>
      <c r="P6" s="9"/>
    </row>
    <row r="7" spans="2:16" ht="20.149999999999999" customHeight="1" x14ac:dyDescent="0.35">
      <c r="B7" s="118" t="s">
        <v>7</v>
      </c>
      <c r="C7" s="118" t="s">
        <v>26</v>
      </c>
      <c r="D7" s="118" t="s">
        <v>29</v>
      </c>
      <c r="E7" s="677" t="s">
        <v>129</v>
      </c>
      <c r="F7" s="677"/>
      <c r="P7" s="9"/>
    </row>
    <row r="8" spans="2:16" ht="20.149999999999999" customHeight="1" x14ac:dyDescent="0.35">
      <c r="B8" s="119">
        <v>1</v>
      </c>
      <c r="C8" s="16"/>
      <c r="D8" s="16"/>
      <c r="E8" s="675">
        <v>1</v>
      </c>
      <c r="F8" s="675">
        <v>2</v>
      </c>
      <c r="P8" s="9"/>
    </row>
    <row r="9" spans="2:16" ht="20.149999999999999" customHeight="1" x14ac:dyDescent="0.35">
      <c r="B9" s="119">
        <v>2</v>
      </c>
      <c r="C9" s="16"/>
      <c r="D9" s="16"/>
      <c r="E9" s="675"/>
      <c r="F9" s="675"/>
      <c r="P9" s="9"/>
    </row>
    <row r="10" spans="2:16" ht="20.149999999999999" customHeight="1" x14ac:dyDescent="0.35">
      <c r="B10" s="119">
        <v>3</v>
      </c>
      <c r="C10" s="16"/>
      <c r="D10" s="16"/>
      <c r="E10" s="675">
        <v>3</v>
      </c>
      <c r="F10" s="675">
        <v>4</v>
      </c>
      <c r="P10" s="9"/>
    </row>
    <row r="11" spans="2:16" ht="20.149999999999999" customHeight="1" x14ac:dyDescent="0.35">
      <c r="B11" s="119">
        <v>4</v>
      </c>
      <c r="C11" s="16"/>
      <c r="D11" s="16"/>
      <c r="E11" s="675"/>
      <c r="F11" s="675"/>
      <c r="P11" s="9"/>
    </row>
    <row r="12" spans="2:16" ht="20.149999999999999" customHeight="1" x14ac:dyDescent="0.35">
      <c r="B12" s="119">
        <v>5</v>
      </c>
      <c r="C12" s="16"/>
      <c r="D12" s="16"/>
      <c r="E12" s="675">
        <v>5</v>
      </c>
      <c r="F12" s="675">
        <v>6</v>
      </c>
      <c r="P12" s="9"/>
    </row>
    <row r="13" spans="2:16" ht="20.149999999999999" customHeight="1" x14ac:dyDescent="0.35">
      <c r="B13" s="119">
        <v>6</v>
      </c>
      <c r="C13" s="16"/>
      <c r="D13" s="16"/>
      <c r="E13" s="675"/>
      <c r="F13" s="675"/>
      <c r="P13" s="9"/>
    </row>
    <row r="14" spans="2:16" ht="20.149999999999999" customHeight="1" x14ac:dyDescent="0.35">
      <c r="B14" s="119">
        <v>7</v>
      </c>
      <c r="C14" s="16"/>
      <c r="D14" s="16"/>
      <c r="E14" s="675">
        <v>7</v>
      </c>
      <c r="F14" s="675">
        <v>8</v>
      </c>
      <c r="P14" s="9"/>
    </row>
    <row r="15" spans="2:16" ht="20.149999999999999" customHeight="1" x14ac:dyDescent="0.35">
      <c r="B15" s="119">
        <v>8</v>
      </c>
      <c r="C15" s="16"/>
      <c r="D15" s="16"/>
      <c r="E15" s="675"/>
      <c r="F15" s="675"/>
      <c r="P15" s="9"/>
    </row>
    <row r="16" spans="2:16" ht="20.149999999999999" customHeight="1" x14ac:dyDescent="0.35">
      <c r="B16" s="119">
        <v>9</v>
      </c>
      <c r="C16" s="16"/>
      <c r="D16" s="16"/>
      <c r="E16" s="675">
        <v>9</v>
      </c>
      <c r="F16" s="675">
        <v>10</v>
      </c>
      <c r="P16" s="9"/>
    </row>
    <row r="17" spans="2:16" ht="20.149999999999999" customHeight="1" x14ac:dyDescent="0.35">
      <c r="B17" s="119">
        <v>10</v>
      </c>
      <c r="C17" s="16"/>
      <c r="D17" s="16"/>
      <c r="E17" s="675"/>
      <c r="F17" s="675"/>
      <c r="P17" s="9"/>
    </row>
    <row r="18" spans="2:16" ht="20.149999999999999" customHeight="1" x14ac:dyDescent="0.35">
      <c r="B18" s="119">
        <v>11</v>
      </c>
      <c r="C18" s="16"/>
      <c r="D18" s="16"/>
      <c r="E18" s="675">
        <v>11</v>
      </c>
      <c r="F18" s="675">
        <v>12</v>
      </c>
      <c r="P18" s="9"/>
    </row>
    <row r="19" spans="2:16" ht="20.149999999999999" customHeight="1" x14ac:dyDescent="0.35">
      <c r="B19" s="119">
        <v>12</v>
      </c>
      <c r="C19" s="16"/>
      <c r="D19" s="16"/>
      <c r="E19" s="675"/>
      <c r="F19" s="675"/>
      <c r="P19" s="9"/>
    </row>
    <row r="20" spans="2:16" ht="20.149999999999999" customHeight="1" x14ac:dyDescent="0.35">
      <c r="B20" s="119">
        <v>13</v>
      </c>
      <c r="C20" s="16"/>
      <c r="D20" s="16"/>
      <c r="E20" s="675">
        <v>13</v>
      </c>
      <c r="F20" s="675">
        <v>14</v>
      </c>
      <c r="P20" s="9"/>
    </row>
    <row r="21" spans="2:16" ht="20.149999999999999" customHeight="1" x14ac:dyDescent="0.35">
      <c r="B21" s="119">
        <v>14</v>
      </c>
      <c r="C21" s="16"/>
      <c r="D21" s="16"/>
      <c r="E21" s="675"/>
      <c r="F21" s="675"/>
      <c r="P21" s="9"/>
    </row>
    <row r="22" spans="2:16" ht="20.149999999999999" customHeight="1" x14ac:dyDescent="0.35">
      <c r="B22" s="119">
        <v>15</v>
      </c>
      <c r="C22" s="16"/>
      <c r="D22" s="16"/>
      <c r="E22" s="675">
        <v>15</v>
      </c>
      <c r="F22" s="675">
        <v>16</v>
      </c>
      <c r="P22" s="9"/>
    </row>
    <row r="23" spans="2:16" ht="20.149999999999999" customHeight="1" x14ac:dyDescent="0.35">
      <c r="B23" s="119">
        <v>16</v>
      </c>
      <c r="C23" s="16"/>
      <c r="D23" s="16"/>
      <c r="E23" s="675"/>
      <c r="F23" s="675"/>
      <c r="P23" s="9"/>
    </row>
    <row r="24" spans="2:16" ht="20.149999999999999" customHeight="1" x14ac:dyDescent="0.35">
      <c r="B24" s="119">
        <v>17</v>
      </c>
      <c r="C24" s="16"/>
      <c r="D24" s="16"/>
      <c r="E24" s="675">
        <v>17</v>
      </c>
      <c r="F24" s="675">
        <v>18</v>
      </c>
      <c r="P24" s="9"/>
    </row>
    <row r="25" spans="2:16" ht="20.149999999999999" customHeight="1" x14ac:dyDescent="0.35">
      <c r="B25" s="119">
        <v>18</v>
      </c>
      <c r="C25" s="16"/>
      <c r="D25" s="16"/>
      <c r="E25" s="676"/>
      <c r="F25" s="676"/>
      <c r="P25" s="9"/>
    </row>
    <row r="26" spans="2:16" ht="20.149999999999999" customHeight="1" x14ac:dyDescent="0.35">
      <c r="B26" s="119">
        <v>19</v>
      </c>
      <c r="C26" s="16"/>
      <c r="D26" s="5"/>
      <c r="E26" s="675">
        <v>19</v>
      </c>
      <c r="F26" s="675">
        <v>20</v>
      </c>
      <c r="P26" s="9"/>
    </row>
    <row r="27" spans="2:16" ht="20.149999999999999" customHeight="1" x14ac:dyDescent="0.35">
      <c r="B27" s="119">
        <v>20</v>
      </c>
      <c r="C27" s="16"/>
      <c r="D27" s="5"/>
      <c r="E27" s="675"/>
      <c r="F27" s="675"/>
      <c r="P27" s="9"/>
    </row>
    <row r="28" spans="2:16" ht="20.149999999999999" customHeight="1" x14ac:dyDescent="0.35">
      <c r="B28" s="119">
        <v>21</v>
      </c>
      <c r="C28" s="16"/>
      <c r="D28" s="16"/>
      <c r="E28" s="675">
        <v>21</v>
      </c>
      <c r="F28" s="675">
        <v>22</v>
      </c>
      <c r="P28" s="9"/>
    </row>
    <row r="29" spans="2:16" ht="20.149999999999999" customHeight="1" x14ac:dyDescent="0.35">
      <c r="B29" s="119">
        <v>22</v>
      </c>
      <c r="C29" s="16"/>
      <c r="D29" s="16"/>
      <c r="E29" s="675"/>
      <c r="F29" s="675"/>
      <c r="P29" s="9"/>
    </row>
    <row r="30" spans="2:16" ht="20.149999999999999" customHeight="1" x14ac:dyDescent="0.35">
      <c r="B30" s="119">
        <v>23</v>
      </c>
      <c r="C30" s="16"/>
      <c r="D30" s="16"/>
      <c r="E30" s="675">
        <v>23</v>
      </c>
      <c r="F30" s="675">
        <v>24</v>
      </c>
      <c r="P30" s="9"/>
    </row>
    <row r="31" spans="2:16" ht="19.5" customHeight="1" x14ac:dyDescent="0.35">
      <c r="B31" s="119">
        <v>24</v>
      </c>
      <c r="C31" s="16"/>
      <c r="D31" s="16"/>
      <c r="E31" s="675"/>
      <c r="F31" s="675"/>
      <c r="P31" s="9"/>
    </row>
    <row r="32" spans="2:16" ht="20.149999999999999" customHeight="1" x14ac:dyDescent="0.35">
      <c r="B32" s="119">
        <v>25</v>
      </c>
      <c r="C32" s="16"/>
      <c r="D32" s="16"/>
      <c r="E32" s="675">
        <v>25</v>
      </c>
      <c r="F32" s="675">
        <v>26</v>
      </c>
      <c r="P32" s="9"/>
    </row>
    <row r="33" spans="2:16" ht="20.149999999999999" customHeight="1" x14ac:dyDescent="0.35">
      <c r="B33" s="119">
        <v>26</v>
      </c>
      <c r="C33" s="16"/>
      <c r="D33" s="16"/>
      <c r="E33" s="675"/>
      <c r="F33" s="675"/>
      <c r="P33" s="9"/>
    </row>
    <row r="34" spans="2:16" ht="19.5" customHeight="1" x14ac:dyDescent="0.35">
      <c r="B34" s="7"/>
      <c r="P34" s="9"/>
    </row>
    <row r="35" spans="2:16" ht="20.149999999999999" customHeight="1" x14ac:dyDescent="0.35">
      <c r="B35" s="7"/>
      <c r="P35" s="9"/>
    </row>
    <row r="36" spans="2:16" ht="20.149999999999999" customHeight="1" x14ac:dyDescent="0.35">
      <c r="B36" s="7"/>
      <c r="P36" s="9"/>
    </row>
    <row r="37" spans="2:16" ht="20.149999999999999" customHeight="1" x14ac:dyDescent="0.35">
      <c r="B37" s="7"/>
      <c r="P37" s="9"/>
    </row>
    <row r="38" spans="2:16" ht="20.149999999999999" customHeight="1" x14ac:dyDescent="0.35">
      <c r="B38" s="7"/>
      <c r="P38" s="9"/>
    </row>
    <row r="39" spans="2:16" ht="20.149999999999999" customHeight="1" x14ac:dyDescent="0.35">
      <c r="B39" s="7"/>
      <c r="P39" s="9"/>
    </row>
    <row r="40" spans="2:16" ht="20.149999999999999" customHeight="1" x14ac:dyDescent="0.35">
      <c r="B40" s="7"/>
      <c r="P40" s="9"/>
    </row>
    <row r="41" spans="2:16" ht="20.149999999999999" customHeight="1" x14ac:dyDescent="0.35">
      <c r="B41" s="7"/>
      <c r="P41" s="9"/>
    </row>
    <row r="42" spans="2:16" ht="20.149999999999999" customHeight="1" x14ac:dyDescent="0.35">
      <c r="B42" s="7"/>
      <c r="P42" s="9"/>
    </row>
    <row r="43" spans="2:16" ht="20.149999999999999" customHeight="1" x14ac:dyDescent="0.35">
      <c r="B43" s="7"/>
      <c r="P43" s="9"/>
    </row>
    <row r="44" spans="2:16" ht="20.149999999999999" customHeight="1" x14ac:dyDescent="0.35">
      <c r="B44" s="7"/>
      <c r="P44" s="9"/>
    </row>
    <row r="45" spans="2:16" ht="20.149999999999999" customHeight="1" x14ac:dyDescent="0.35">
      <c r="B45" s="7"/>
      <c r="P45" s="9"/>
    </row>
    <row r="46" spans="2:16" ht="20.149999999999999" customHeight="1" x14ac:dyDescent="0.35">
      <c r="B46" s="7"/>
      <c r="P46" s="9"/>
    </row>
    <row r="47" spans="2:16" ht="20.149999999999999" customHeight="1" x14ac:dyDescent="0.35">
      <c r="B47" s="7"/>
      <c r="P47" s="9"/>
    </row>
    <row r="48" spans="2:16" ht="20.149999999999999" customHeight="1" x14ac:dyDescent="0.35">
      <c r="B48" s="7"/>
      <c r="P48" s="9"/>
    </row>
    <row r="49" spans="2:16" ht="20.149999999999999" customHeight="1" x14ac:dyDescent="0.35">
      <c r="B49" s="7"/>
      <c r="P49" s="9"/>
    </row>
    <row r="50" spans="2:16" ht="20.149999999999999" customHeight="1" x14ac:dyDescent="0.35">
      <c r="B50" s="7"/>
      <c r="P50" s="9"/>
    </row>
    <row r="51" spans="2:16" ht="20.149999999999999" customHeight="1" x14ac:dyDescent="0.35">
      <c r="B51" s="7"/>
      <c r="P51" s="9"/>
    </row>
    <row r="52" spans="2:16" ht="20.149999999999999" customHeight="1" x14ac:dyDescent="0.35">
      <c r="B52" s="7"/>
      <c r="P52" s="9"/>
    </row>
    <row r="53" spans="2:16" ht="20.149999999999999" customHeight="1" x14ac:dyDescent="0.35">
      <c r="B53" s="7"/>
      <c r="P53" s="9"/>
    </row>
    <row r="54" spans="2:16" ht="20.149999999999999" customHeight="1" x14ac:dyDescent="0.35">
      <c r="B54" s="7"/>
      <c r="P54" s="9"/>
    </row>
    <row r="55" spans="2:16" ht="20.149999999999999" customHeight="1" x14ac:dyDescent="0.35">
      <c r="B55" s="7"/>
      <c r="P55" s="9"/>
    </row>
    <row r="56" spans="2:16" ht="20.149999999999999" customHeight="1" x14ac:dyDescent="0.35">
      <c r="B56" s="7"/>
      <c r="P56" s="9"/>
    </row>
    <row r="57" spans="2:16" ht="20.149999999999999" customHeight="1" x14ac:dyDescent="0.35">
      <c r="B57" s="7"/>
      <c r="P57" s="9"/>
    </row>
    <row r="58" spans="2:16" ht="20.149999999999999" customHeight="1" x14ac:dyDescent="0.35">
      <c r="B58" s="7"/>
      <c r="P58" s="9"/>
    </row>
    <row r="59" spans="2:16" ht="20.149999999999999" customHeight="1" x14ac:dyDescent="0.35">
      <c r="B59" s="7"/>
      <c r="P59" s="9"/>
    </row>
    <row r="60" spans="2:16" ht="20.149999999999999" customHeight="1" x14ac:dyDescent="0.35">
      <c r="B60" s="7"/>
      <c r="P60" s="9"/>
    </row>
    <row r="61" spans="2:16" ht="20.149999999999999" customHeight="1" x14ac:dyDescent="0.35">
      <c r="B61" s="7"/>
      <c r="P61" s="9"/>
    </row>
    <row r="62" spans="2:16" ht="20.149999999999999" customHeight="1" x14ac:dyDescent="0.35">
      <c r="B62" s="7"/>
      <c r="P62" s="9"/>
    </row>
    <row r="63" spans="2:16" ht="20.149999999999999" customHeight="1" x14ac:dyDescent="0.35">
      <c r="B63" s="7"/>
      <c r="P63" s="9"/>
    </row>
    <row r="64" spans="2:16" ht="20.149999999999999" customHeight="1" x14ac:dyDescent="0.35">
      <c r="B64" s="7"/>
      <c r="P64" s="9"/>
    </row>
    <row r="65" spans="2:16" ht="20.149999999999999" customHeight="1" x14ac:dyDescent="0.35">
      <c r="B65" s="7"/>
      <c r="P65" s="9"/>
    </row>
    <row r="66" spans="2:16" ht="20.149999999999999" customHeight="1" x14ac:dyDescent="0.35"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</sheetData>
  <mergeCells count="32">
    <mergeCell ref="E7:F7"/>
    <mergeCell ref="B2:C3"/>
    <mergeCell ref="D2:F2"/>
    <mergeCell ref="D3:F3"/>
    <mergeCell ref="B4:D4"/>
    <mergeCell ref="B6:D6"/>
    <mergeCell ref="E8:E9"/>
    <mergeCell ref="F8:F9"/>
    <mergeCell ref="E10:E11"/>
    <mergeCell ref="F10:F11"/>
    <mergeCell ref="E12:E13"/>
    <mergeCell ref="F12:F13"/>
    <mergeCell ref="E14:E15"/>
    <mergeCell ref="F14:F15"/>
    <mergeCell ref="E16:E17"/>
    <mergeCell ref="F16:F17"/>
    <mergeCell ref="E18:E19"/>
    <mergeCell ref="F18:F19"/>
    <mergeCell ref="E20:E21"/>
    <mergeCell ref="F20:F21"/>
    <mergeCell ref="E22:E23"/>
    <mergeCell ref="F22:F23"/>
    <mergeCell ref="E24:E25"/>
    <mergeCell ref="F24:F25"/>
    <mergeCell ref="E32:E33"/>
    <mergeCell ref="F32:F33"/>
    <mergeCell ref="E26:E27"/>
    <mergeCell ref="F26:F27"/>
    <mergeCell ref="E28:E29"/>
    <mergeCell ref="F28:F29"/>
    <mergeCell ref="E30:E31"/>
    <mergeCell ref="F30:F31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406A-9532-4484-BE3D-87A0FD54ADA2}">
  <dimension ref="B2:P66"/>
  <sheetViews>
    <sheetView topLeftCell="A10" zoomScale="65" zoomScaleNormal="65" zoomScaleSheetLayoutView="94" workbookViewId="0">
      <selection activeCell="B1" sqref="B1:T18"/>
    </sheetView>
  </sheetViews>
  <sheetFormatPr defaultColWidth="8.90625" defaultRowHeight="14.5" x14ac:dyDescent="0.35"/>
  <cols>
    <col min="1" max="3" width="8.90625" style="8"/>
    <col min="4" max="4" width="20.08984375" style="8" customWidth="1"/>
    <col min="5" max="5" width="31.6328125" style="8" customWidth="1"/>
    <col min="6" max="6" width="15" style="8" customWidth="1"/>
    <col min="7" max="7" width="18.1796875" style="8" bestFit="1" customWidth="1"/>
    <col min="8" max="8" width="11.90625" style="8" customWidth="1"/>
    <col min="9" max="9" width="26.54296875" style="8" customWidth="1"/>
    <col min="10" max="16384" width="8.90625" style="8"/>
  </cols>
  <sheetData>
    <row r="2" spans="2:16" x14ac:dyDescent="0.35">
      <c r="B2" s="1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3"/>
    </row>
    <row r="3" spans="2:16" ht="26" x14ac:dyDescent="0.6">
      <c r="B3" s="7"/>
      <c r="D3" s="335"/>
      <c r="E3" s="686" t="s">
        <v>270</v>
      </c>
      <c r="F3" s="686"/>
      <c r="G3" s="686"/>
      <c r="H3" s="686"/>
      <c r="I3" s="686"/>
      <c r="J3" s="9"/>
      <c r="P3" s="9"/>
    </row>
    <row r="4" spans="2:16" ht="26" x14ac:dyDescent="0.6">
      <c r="B4" s="7"/>
      <c r="D4" s="335"/>
      <c r="E4" s="686" t="s">
        <v>3</v>
      </c>
      <c r="F4" s="686"/>
      <c r="G4" s="686"/>
      <c r="H4" s="686"/>
      <c r="I4" s="686"/>
      <c r="J4" s="9"/>
      <c r="P4" s="9"/>
    </row>
    <row r="5" spans="2:16" ht="26" x14ac:dyDescent="0.6">
      <c r="B5" s="7"/>
      <c r="D5" s="335"/>
      <c r="E5" s="686" t="s">
        <v>4</v>
      </c>
      <c r="F5" s="686"/>
      <c r="G5" s="686"/>
      <c r="H5" s="686"/>
      <c r="I5" s="686"/>
      <c r="J5" s="9"/>
      <c r="P5" s="9"/>
    </row>
    <row r="6" spans="2:16" x14ac:dyDescent="0.35">
      <c r="B6" s="7"/>
      <c r="J6" s="9"/>
      <c r="P6" s="9"/>
    </row>
    <row r="7" spans="2:16" x14ac:dyDescent="0.35">
      <c r="B7" s="7"/>
      <c r="J7" s="9"/>
      <c r="P7" s="9"/>
    </row>
    <row r="8" spans="2:16" x14ac:dyDescent="0.35">
      <c r="B8" s="7"/>
      <c r="C8" s="8" t="s">
        <v>5</v>
      </c>
      <c r="J8" s="9"/>
      <c r="P8" s="9"/>
    </row>
    <row r="9" spans="2:16" x14ac:dyDescent="0.35">
      <c r="B9" s="7"/>
      <c r="C9" s="8" t="s">
        <v>234</v>
      </c>
      <c r="J9" s="9"/>
      <c r="P9" s="9"/>
    </row>
    <row r="10" spans="2:16" x14ac:dyDescent="0.35">
      <c r="B10" s="7"/>
      <c r="J10" s="9"/>
      <c r="P10" s="9"/>
    </row>
    <row r="11" spans="2:16" x14ac:dyDescent="0.35">
      <c r="B11" s="7"/>
      <c r="J11" s="9"/>
      <c r="P11" s="9"/>
    </row>
    <row r="12" spans="2:16" x14ac:dyDescent="0.35">
      <c r="B12" s="7"/>
      <c r="C12" s="8" t="s">
        <v>0</v>
      </c>
      <c r="D12" s="8" t="s">
        <v>6</v>
      </c>
      <c r="J12" s="9"/>
      <c r="P12" s="9"/>
    </row>
    <row r="13" spans="2:16" x14ac:dyDescent="0.35">
      <c r="B13" s="7"/>
      <c r="J13" s="9"/>
      <c r="P13" s="9"/>
    </row>
    <row r="14" spans="2:16" x14ac:dyDescent="0.35">
      <c r="B14" s="7"/>
      <c r="C14" s="673" t="s">
        <v>7</v>
      </c>
      <c r="D14" s="673" t="s">
        <v>8</v>
      </c>
      <c r="E14" s="673" t="s">
        <v>9</v>
      </c>
      <c r="F14" s="673" t="s">
        <v>10</v>
      </c>
      <c r="G14" s="673"/>
      <c r="H14" s="673" t="s">
        <v>11</v>
      </c>
      <c r="I14" s="673" t="s">
        <v>12</v>
      </c>
      <c r="J14" s="9"/>
      <c r="P14" s="9"/>
    </row>
    <row r="15" spans="2:16" x14ac:dyDescent="0.35">
      <c r="B15" s="7"/>
      <c r="C15" s="673"/>
      <c r="D15" s="673"/>
      <c r="E15" s="673"/>
      <c r="F15" s="205" t="s">
        <v>13</v>
      </c>
      <c r="G15" s="205" t="s">
        <v>14</v>
      </c>
      <c r="H15" s="673"/>
      <c r="I15" s="673"/>
      <c r="J15" s="9"/>
      <c r="P15" s="9"/>
    </row>
    <row r="16" spans="2:16" ht="16" customHeight="1" x14ac:dyDescent="0.35">
      <c r="B16" s="7"/>
      <c r="C16" s="14">
        <v>1</v>
      </c>
      <c r="D16" s="15" t="s">
        <v>15</v>
      </c>
      <c r="E16" s="16"/>
      <c r="F16" s="16"/>
      <c r="G16" s="16"/>
      <c r="H16" s="16"/>
      <c r="I16" s="16"/>
      <c r="J16" s="9"/>
      <c r="P16" s="9"/>
    </row>
    <row r="17" spans="2:16" ht="16" customHeight="1" x14ac:dyDescent="0.35">
      <c r="B17" s="7"/>
      <c r="C17" s="14">
        <v>2</v>
      </c>
      <c r="D17" s="15" t="s">
        <v>16</v>
      </c>
      <c r="E17" s="16"/>
      <c r="F17" s="16"/>
      <c r="G17" s="16"/>
      <c r="H17" s="16"/>
      <c r="I17" s="16"/>
      <c r="J17" s="9"/>
      <c r="P17" s="9"/>
    </row>
    <row r="18" spans="2:16" ht="16" customHeight="1" x14ac:dyDescent="0.35">
      <c r="B18" s="7"/>
      <c r="C18" s="14">
        <v>3</v>
      </c>
      <c r="D18" s="15" t="s">
        <v>17</v>
      </c>
      <c r="E18" s="16"/>
      <c r="F18" s="16"/>
      <c r="G18" s="16"/>
      <c r="H18" s="16"/>
      <c r="I18" s="16"/>
      <c r="J18" s="9"/>
      <c r="P18" s="9"/>
    </row>
    <row r="19" spans="2:16" ht="16" customHeight="1" x14ac:dyDescent="0.35">
      <c r="B19" s="7"/>
      <c r="C19" s="14">
        <v>4</v>
      </c>
      <c r="D19" s="15" t="s">
        <v>18</v>
      </c>
      <c r="E19" s="16"/>
      <c r="F19" s="16"/>
      <c r="G19" s="16"/>
      <c r="H19" s="16"/>
      <c r="I19" s="16"/>
      <c r="J19" s="9"/>
      <c r="P19" s="9"/>
    </row>
    <row r="20" spans="2:16" ht="16" customHeight="1" x14ac:dyDescent="0.35">
      <c r="B20" s="7"/>
      <c r="C20" s="14">
        <v>5</v>
      </c>
      <c r="D20" s="15" t="s">
        <v>19</v>
      </c>
      <c r="E20" s="16"/>
      <c r="F20" s="16"/>
      <c r="G20" s="16"/>
      <c r="H20" s="16"/>
      <c r="I20" s="16"/>
      <c r="J20" s="9"/>
      <c r="P20" s="9"/>
    </row>
    <row r="21" spans="2:16" ht="16" customHeight="1" x14ac:dyDescent="0.35">
      <c r="B21" s="7"/>
      <c r="C21" s="14">
        <v>6</v>
      </c>
      <c r="D21" s="15" t="s">
        <v>20</v>
      </c>
      <c r="E21" s="16"/>
      <c r="F21" s="16"/>
      <c r="G21" s="16"/>
      <c r="H21" s="16"/>
      <c r="I21" s="16"/>
      <c r="J21" s="9"/>
      <c r="P21" s="9"/>
    </row>
    <row r="22" spans="2:16" x14ac:dyDescent="0.35">
      <c r="B22" s="7"/>
      <c r="C22" s="14">
        <v>7</v>
      </c>
      <c r="D22" s="15" t="s">
        <v>235</v>
      </c>
      <c r="E22" s="16"/>
      <c r="F22" s="16"/>
      <c r="G22" s="16"/>
      <c r="H22" s="16"/>
      <c r="I22" s="16"/>
      <c r="J22" s="9"/>
      <c r="P22" s="9"/>
    </row>
    <row r="23" spans="2:16" x14ac:dyDescent="0.35">
      <c r="B23" s="7"/>
      <c r="J23" s="9"/>
      <c r="P23" s="9"/>
    </row>
    <row r="24" spans="2:16" x14ac:dyDescent="0.35">
      <c r="B24" s="7"/>
      <c r="J24" s="9"/>
      <c r="P24" s="9"/>
    </row>
    <row r="25" spans="2:16" x14ac:dyDescent="0.35">
      <c r="B25" s="7"/>
      <c r="J25" s="9"/>
      <c r="P25" s="9"/>
    </row>
    <row r="26" spans="2:16" x14ac:dyDescent="0.35">
      <c r="B26" s="7"/>
      <c r="J26" s="9"/>
      <c r="P26" s="9"/>
    </row>
    <row r="27" spans="2:16" x14ac:dyDescent="0.35">
      <c r="B27" s="7"/>
      <c r="C27" s="336" t="s">
        <v>269</v>
      </c>
      <c r="E27" s="336"/>
      <c r="J27" s="9"/>
      <c r="P27" s="9"/>
    </row>
    <row r="28" spans="2:16" x14ac:dyDescent="0.35">
      <c r="B28" s="7"/>
      <c r="J28" s="9"/>
      <c r="P28" s="9"/>
    </row>
    <row r="29" spans="2:16" x14ac:dyDescent="0.35">
      <c r="B29" s="7"/>
      <c r="C29" s="5" t="s">
        <v>21</v>
      </c>
      <c r="D29" s="6"/>
      <c r="E29" s="16" t="s">
        <v>22</v>
      </c>
      <c r="J29" s="9"/>
      <c r="P29" s="9"/>
    </row>
    <row r="30" spans="2:16" x14ac:dyDescent="0.35">
      <c r="B30" s="7"/>
      <c r="C30" s="7"/>
      <c r="D30" s="9"/>
      <c r="E30" s="13"/>
      <c r="J30" s="9"/>
      <c r="P30" s="9"/>
    </row>
    <row r="31" spans="2:16" x14ac:dyDescent="0.35">
      <c r="B31" s="7"/>
      <c r="C31" s="7"/>
      <c r="D31" s="9"/>
      <c r="E31" s="13"/>
      <c r="J31" s="9"/>
      <c r="P31" s="9"/>
    </row>
    <row r="32" spans="2:16" x14ac:dyDescent="0.35">
      <c r="B32" s="7"/>
      <c r="C32" s="7"/>
      <c r="D32" s="9"/>
      <c r="E32" s="13"/>
      <c r="J32" s="9"/>
      <c r="P32" s="9"/>
    </row>
    <row r="33" spans="2:16" x14ac:dyDescent="0.35">
      <c r="B33" s="7"/>
      <c r="C33" s="7"/>
      <c r="D33" s="9"/>
      <c r="E33" s="13"/>
      <c r="J33" s="9"/>
      <c r="P33" s="9"/>
    </row>
    <row r="34" spans="2:16" x14ac:dyDescent="0.35">
      <c r="B34" s="7"/>
      <c r="C34" s="5" t="s">
        <v>23</v>
      </c>
      <c r="D34" s="6"/>
      <c r="E34" s="16" t="s">
        <v>23</v>
      </c>
      <c r="J34" s="9"/>
      <c r="P34" s="9"/>
    </row>
    <row r="35" spans="2:16" x14ac:dyDescent="0.35">
      <c r="B35" s="7"/>
      <c r="C35" s="10" t="s">
        <v>24</v>
      </c>
      <c r="D35" s="12"/>
      <c r="E35" s="17" t="s">
        <v>24</v>
      </c>
      <c r="J35" s="9"/>
      <c r="P35" s="9"/>
    </row>
    <row r="36" spans="2:16" x14ac:dyDescent="0.35">
      <c r="B36" s="7"/>
      <c r="J36" s="9"/>
      <c r="P36" s="9"/>
    </row>
    <row r="37" spans="2:16" x14ac:dyDescent="0.35">
      <c r="B37" s="10"/>
      <c r="C37" s="11"/>
      <c r="D37" s="11"/>
      <c r="E37" s="11"/>
      <c r="F37" s="11"/>
      <c r="G37" s="11"/>
      <c r="H37" s="11"/>
      <c r="I37" s="11"/>
      <c r="J37" s="12"/>
      <c r="P37" s="9"/>
    </row>
    <row r="38" spans="2:16" x14ac:dyDescent="0.35">
      <c r="B38" s="7"/>
      <c r="P38" s="9"/>
    </row>
    <row r="39" spans="2:16" x14ac:dyDescent="0.35">
      <c r="B39" s="7"/>
      <c r="P39" s="9"/>
    </row>
    <row r="40" spans="2:16" x14ac:dyDescent="0.35">
      <c r="B40" s="7"/>
      <c r="P40" s="9"/>
    </row>
    <row r="41" spans="2:16" x14ac:dyDescent="0.35">
      <c r="B41" s="7"/>
      <c r="P41" s="9"/>
    </row>
    <row r="42" spans="2:16" x14ac:dyDescent="0.35">
      <c r="B42" s="7"/>
      <c r="P42" s="9"/>
    </row>
    <row r="43" spans="2:16" x14ac:dyDescent="0.35">
      <c r="B43" s="7"/>
      <c r="P43" s="9"/>
    </row>
    <row r="44" spans="2:16" x14ac:dyDescent="0.35">
      <c r="B44" s="7"/>
      <c r="P44" s="9"/>
    </row>
    <row r="45" spans="2:16" x14ac:dyDescent="0.35">
      <c r="B45" s="7"/>
      <c r="P45" s="9"/>
    </row>
    <row r="46" spans="2:16" x14ac:dyDescent="0.35">
      <c r="B46" s="7"/>
      <c r="P46" s="9"/>
    </row>
    <row r="47" spans="2:16" x14ac:dyDescent="0.35">
      <c r="B47" s="7"/>
      <c r="P47" s="9"/>
    </row>
    <row r="48" spans="2:16" x14ac:dyDescent="0.35">
      <c r="B48" s="7"/>
      <c r="P48" s="9"/>
    </row>
    <row r="49" spans="2:16" x14ac:dyDescent="0.35">
      <c r="B49" s="7"/>
      <c r="P49" s="9"/>
    </row>
    <row r="50" spans="2:16" x14ac:dyDescent="0.35">
      <c r="B50" s="7"/>
      <c r="P50" s="9"/>
    </row>
    <row r="51" spans="2:16" x14ac:dyDescent="0.35">
      <c r="B51" s="7"/>
      <c r="P51" s="9"/>
    </row>
    <row r="52" spans="2:16" x14ac:dyDescent="0.35">
      <c r="B52" s="7"/>
      <c r="P52" s="9"/>
    </row>
    <row r="53" spans="2:16" x14ac:dyDescent="0.35">
      <c r="B53" s="7"/>
      <c r="P53" s="9"/>
    </row>
    <row r="54" spans="2:16" x14ac:dyDescent="0.35">
      <c r="B54" s="7"/>
      <c r="P54" s="9"/>
    </row>
    <row r="55" spans="2:16" x14ac:dyDescent="0.35">
      <c r="B55" s="7"/>
      <c r="P55" s="9"/>
    </row>
    <row r="56" spans="2:16" x14ac:dyDescent="0.35">
      <c r="B56" s="7"/>
      <c r="P56" s="9"/>
    </row>
    <row r="57" spans="2:16" x14ac:dyDescent="0.35">
      <c r="B57" s="7"/>
      <c r="P57" s="9"/>
    </row>
    <row r="58" spans="2:16" x14ac:dyDescent="0.35">
      <c r="B58" s="7"/>
      <c r="P58" s="9"/>
    </row>
    <row r="59" spans="2:16" x14ac:dyDescent="0.35">
      <c r="B59" s="7"/>
      <c r="P59" s="9"/>
    </row>
    <row r="60" spans="2:16" x14ac:dyDescent="0.35">
      <c r="B60" s="7"/>
      <c r="P60" s="9"/>
    </row>
    <row r="61" spans="2:16" x14ac:dyDescent="0.35">
      <c r="B61" s="7"/>
      <c r="P61" s="9"/>
    </row>
    <row r="62" spans="2:16" x14ac:dyDescent="0.35">
      <c r="B62" s="7"/>
      <c r="P62" s="9"/>
    </row>
    <row r="63" spans="2:16" x14ac:dyDescent="0.35">
      <c r="B63" s="7"/>
      <c r="P63" s="9"/>
    </row>
    <row r="64" spans="2:16" x14ac:dyDescent="0.35">
      <c r="B64" s="7"/>
      <c r="P64" s="9"/>
    </row>
    <row r="65" spans="2:16" x14ac:dyDescent="0.35">
      <c r="B65" s="7"/>
      <c r="P65" s="9"/>
    </row>
    <row r="66" spans="2:16" x14ac:dyDescent="0.35"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</sheetData>
  <mergeCells count="9">
    <mergeCell ref="E3:I3"/>
    <mergeCell ref="E4:I4"/>
    <mergeCell ref="E5:I5"/>
    <mergeCell ref="C14:C15"/>
    <mergeCell ref="D14:D15"/>
    <mergeCell ref="E14:E15"/>
    <mergeCell ref="F14:G14"/>
    <mergeCell ref="H14:H15"/>
    <mergeCell ref="I14:I15"/>
  </mergeCells>
  <pageMargins left="0.7" right="0.7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A3 R TEKS</vt:lpstr>
      <vt:lpstr>PPS 2.0 1</vt:lpstr>
      <vt:lpstr>PPS 2.0 2</vt:lpstr>
      <vt:lpstr>SS</vt:lpstr>
      <vt:lpstr>QCC 2.0</vt:lpstr>
      <vt:lpstr>QWP</vt:lpstr>
      <vt:lpstr>SO</vt:lpstr>
      <vt:lpstr>FORM QCP</vt:lpstr>
      <vt:lpstr>IMPROVEMENT AGENT</vt:lpstr>
      <vt:lpstr>MOM ID</vt:lpstr>
      <vt:lpstr>MONITORING CIRCLE ID</vt:lpstr>
      <vt:lpstr>FORMAT DOKUMENTASI ID</vt:lpstr>
      <vt:lpstr>DAFTAR HADIR ID</vt:lpstr>
      <vt:lpstr>FORM SAFETY &amp; 5R</vt:lpstr>
      <vt:lpstr>'DAFTAR HADIR ID'!Print_Area</vt:lpstr>
      <vt:lpstr>'FORM QCP'!Print_Area</vt:lpstr>
      <vt:lpstr>'MOM ID'!Print_Area</vt:lpstr>
      <vt:lpstr>'PPS 2.0 1'!Print_Area</vt:lpstr>
      <vt:lpstr>'PPS 2.0 2'!Print_Area</vt:lpstr>
      <vt:lpstr>'QCC 2.0'!Print_Area</vt:lpstr>
      <vt:lpstr>QWP!Print_Area</vt:lpstr>
      <vt:lpstr>SO!Print_Area</vt:lpstr>
      <vt:lpstr>SS!Print_Area</vt:lpstr>
      <vt:lpstr>'MOM ID'!Print_Titles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Kokoh Tri Handoko</dc:creator>
  <cp:lastModifiedBy>Irgie Yudhistira</cp:lastModifiedBy>
  <cp:lastPrinted>2025-02-21T09:58:29Z</cp:lastPrinted>
  <dcterms:created xsi:type="dcterms:W3CDTF">2025-01-13T10:24:55Z</dcterms:created>
  <dcterms:modified xsi:type="dcterms:W3CDTF">2026-04-08T04:32:51Z</dcterms:modified>
</cp:coreProperties>
</file>