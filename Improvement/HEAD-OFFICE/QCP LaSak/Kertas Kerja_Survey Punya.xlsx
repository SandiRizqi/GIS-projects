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S\Improvement\Improvement-Agents\head-office\QCP SurveyPunya\"/>
    </mc:Choice>
  </mc:AlternateContent>
  <xr:revisionPtr revIDLastSave="0" documentId="13_ncr:1_{13A91554-818B-4938-A6C6-1198115E9A3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nggota" sheetId="2" r:id="rId1"/>
    <sheet name="Step1" sheetId="17" r:id="rId2"/>
    <sheet name="strafikasi data" sheetId="3" r:id="rId3"/>
    <sheet name="anaconda 2" sheetId="7" r:id="rId4"/>
    <sheet name="tulang ikan" sheetId="6" r:id="rId5"/>
    <sheet name="smart" sheetId="10" r:id="rId6"/>
    <sheet name="uji korelasi" sheetId="11" r:id="rId7"/>
    <sheet name="alternative solusi" sheetId="12" r:id="rId8"/>
    <sheet name="rencana aktivitas" sheetId="13" r:id="rId9"/>
    <sheet name="biaya perbaikan" sheetId="14" r:id="rId10"/>
    <sheet name="AktifitasKegiatan" sheetId="15" r:id="rId11"/>
    <sheet name="Sheet1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7" l="1"/>
  <c r="P12" i="7"/>
  <c r="H11" i="2"/>
  <c r="I11" i="2"/>
  <c r="G11" i="2"/>
  <c r="D11" i="2"/>
  <c r="E11" i="2"/>
  <c r="C11" i="2"/>
  <c r="J5" i="2"/>
  <c r="J6" i="2"/>
  <c r="J7" i="2"/>
  <c r="J8" i="2"/>
  <c r="J9" i="2"/>
  <c r="J10" i="2"/>
  <c r="J4" i="2"/>
  <c r="F5" i="2"/>
  <c r="F6" i="2"/>
  <c r="F7" i="2"/>
  <c r="F8" i="2"/>
  <c r="F9" i="2"/>
  <c r="F10" i="2"/>
  <c r="F4" i="2"/>
  <c r="C27" i="3"/>
  <c r="D27" i="3"/>
  <c r="C25" i="3"/>
  <c r="D25" i="3"/>
  <c r="C26" i="3"/>
  <c r="D26" i="3"/>
  <c r="D24" i="3"/>
  <c r="C24" i="3"/>
  <c r="H22" i="3"/>
  <c r="E27" i="3" l="1"/>
  <c r="E25" i="3"/>
  <c r="E24" i="3"/>
  <c r="E26" i="3"/>
  <c r="D28" i="3"/>
  <c r="C28" i="3"/>
  <c r="E28" i="3" l="1"/>
  <c r="F8" i="14" l="1"/>
  <c r="F7" i="14"/>
  <c r="F6" i="14"/>
  <c r="F5" i="14"/>
  <c r="D4" i="14"/>
  <c r="F4" i="14" s="1"/>
  <c r="F3" i="14"/>
  <c r="E5" i="10"/>
  <c r="J11" i="2" l="1"/>
  <c r="F11" i="2"/>
  <c r="E9" i="14"/>
  <c r="F9" i="14" s="1"/>
  <c r="F10" i="14" s="1"/>
</calcChain>
</file>

<file path=xl/sharedStrings.xml><?xml version="1.0" encoding="utf-8"?>
<sst xmlns="http://schemas.openxmlformats.org/spreadsheetml/2006/main" count="557" uniqueCount="243">
  <si>
    <t>NO</t>
  </si>
  <si>
    <t>%</t>
  </si>
  <si>
    <t>TARGET</t>
  </si>
  <si>
    <t>Jabatan</t>
  </si>
  <si>
    <t>TOTAL</t>
  </si>
  <si>
    <t>anakonda tidak tercapainya nilai komsos</t>
  </si>
  <si>
    <t>belum adanya sosialisasi terkait sahabat tap</t>
  </si>
  <si>
    <t>Produktivitas Pemanen</t>
  </si>
  <si>
    <t>No</t>
  </si>
  <si>
    <t>Element Work</t>
  </si>
  <si>
    <t>Gambar</t>
  </si>
  <si>
    <t>Faktor</t>
  </si>
  <si>
    <t>Control item</t>
  </si>
  <si>
    <t>Standard</t>
  </si>
  <si>
    <t>Actual</t>
  </si>
  <si>
    <t>Pengamatan</t>
  </si>
  <si>
    <t>PIC</t>
  </si>
  <si>
    <t>Korelasi</t>
  </si>
  <si>
    <t>Methode</t>
  </si>
  <si>
    <t>15-28 Februari</t>
  </si>
  <si>
    <t>material</t>
  </si>
  <si>
    <t>15-28 Januari</t>
  </si>
  <si>
    <t>√</t>
  </si>
  <si>
    <t>1. masukkan gambar</t>
  </si>
  <si>
    <t>2. buat buku keluhan external</t>
  </si>
  <si>
    <t>Mitra</t>
  </si>
  <si>
    <t>Mitra Tamba</t>
  </si>
  <si>
    <t>Meri</t>
  </si>
  <si>
    <t>Desa Binaan</t>
  </si>
  <si>
    <t>Material</t>
  </si>
  <si>
    <t>Data sahabat tap 2022</t>
  </si>
  <si>
    <t>Sensus sahabat tap</t>
  </si>
  <si>
    <t>Daftar keluhan ekternal</t>
  </si>
  <si>
    <t>Sahabat tap Pta Kam 100 orang</t>
  </si>
  <si>
    <t>Sahabat tap Pta Kam 79 orang</t>
  </si>
  <si>
    <t>KONDISI SAAT INI</t>
  </si>
  <si>
    <t>NILAI</t>
  </si>
  <si>
    <t>SATUAN</t>
  </si>
  <si>
    <t xml:space="preserve">NILAI </t>
  </si>
  <si>
    <t>TARGET S/D MEI 2023</t>
  </si>
  <si>
    <t>↑</t>
  </si>
  <si>
    <t>askep dan aslap masih belum memenuhi target</t>
  </si>
  <si>
    <t xml:space="preserve">sahabat tap pta kam hanya 79 orang </t>
  </si>
  <si>
    <t>askep dan aslap jarang silahturahmi ke masyarakat</t>
  </si>
  <si>
    <t>tidak adanya jadwal kunjungan periodik ke sahabat tap</t>
  </si>
  <si>
    <t>Presentasi kedekatan sahabat Tap 63%</t>
  </si>
  <si>
    <t>Presentasi kedekatan sahabat Tap 100%</t>
  </si>
  <si>
    <t>askep dan aslap belum seluruhnya menjalankan silahturahmi</t>
  </si>
  <si>
    <t>belum adanya controling kunjungan silahturahmi</t>
  </si>
  <si>
    <t>belum dibuat sistem untuk mengakomodir kunjungan</t>
  </si>
  <si>
    <t>jadwal silahturahmi belum dibuat dengan baik</t>
  </si>
  <si>
    <t>keluhan ekternal ada 16 kasus pada tahun 2022</t>
  </si>
  <si>
    <t>keluhan external kekantor maksimal 6 kali dalam setahun</t>
  </si>
  <si>
    <t>tidak tercover seluruhnya oleh csr/em/staff kantor</t>
  </si>
  <si>
    <t>askep dan aslap belum berkontribusi maksimal</t>
  </si>
  <si>
    <t>belum ada supervisi rule</t>
  </si>
  <si>
    <t>Man</t>
  </si>
  <si>
    <t>metode</t>
  </si>
  <si>
    <t>man</t>
  </si>
  <si>
    <t>informasi publik perusahaan tidak terserap sempurna</t>
  </si>
  <si>
    <t>Persentase kedekatan sahabat Tap 63%</t>
  </si>
  <si>
    <t>AKAR MASALAH</t>
  </si>
  <si>
    <t>DAMPAK</t>
  </si>
  <si>
    <t>FAKTA</t>
  </si>
  <si>
    <t>KORELASI</t>
  </si>
  <si>
    <t>Tidak adanya jadwal kunjungan periodik ke sahabat tap</t>
  </si>
  <si>
    <t>Belum adanya sosialisasi terkait sahabat tap</t>
  </si>
  <si>
    <t>Belum dibuat sistem untuk mengakomodir kunjungan</t>
  </si>
  <si>
    <t>Jadwal silahturahmi belum dibuat dengan baik</t>
  </si>
  <si>
    <t>Belum ada supervisi rule</t>
  </si>
  <si>
    <t>Askep dan aslap jarang silahturahmi ke masyarakat</t>
  </si>
  <si>
    <t>Belum adanya controling kunjungan silahturahmi</t>
  </si>
  <si>
    <t>Askep dan aslap belum berkontribusi maksimal</t>
  </si>
  <si>
    <t xml:space="preserve">Sahabat tap pta kam hanya 79 orang </t>
  </si>
  <si>
    <t>Keluhan ekternal ada 16 kasus pada tahun 2022</t>
  </si>
  <si>
    <t>ALTERNATIVE SOLUSI</t>
  </si>
  <si>
    <t>BENEFIT</t>
  </si>
  <si>
    <t>WAKTU</t>
  </si>
  <si>
    <t>COST</t>
  </si>
  <si>
    <t>KESIMPULAN</t>
  </si>
  <si>
    <t>KEPUTUSAN</t>
  </si>
  <si>
    <t>Sosialisasi di dalam kebun</t>
  </si>
  <si>
    <t>Sosialisasi di luar kebun</t>
  </si>
  <si>
    <t>membuat sistem by vendor</t>
  </si>
  <si>
    <t>membuat sistem by swakelola</t>
  </si>
  <si>
    <t>pembuatan jadwal by google form</t>
  </si>
  <si>
    <t>Pembuatan jadwal manual</t>
  </si>
  <si>
    <t xml:space="preserve">Belum ada sosialisasi </t>
  </si>
  <si>
    <t>Bisa diakses dimana saja</t>
  </si>
  <si>
    <t>1 hari</t>
  </si>
  <si>
    <t>Tidak dipilih</t>
  </si>
  <si>
    <t>Dipilih</t>
  </si>
  <si>
    <t>Menjadi paham tentang pentingnya sahabat TAP</t>
  </si>
  <si>
    <t>- Menjadi paham tentang pentingnya sahabat TAP
- Meningkatkan Mood Staff</t>
  </si>
  <si>
    <t>5 hari</t>
  </si>
  <si>
    <t>- Lebih mudah
- Lebih Akurat
- Lebih Repot</t>
  </si>
  <si>
    <t>- Lebih mudah
- Lebih Akurat
- Tidak Repot</t>
  </si>
  <si>
    <t>Benefit</t>
  </si>
  <si>
    <t>Besar</t>
  </si>
  <si>
    <t>A1</t>
  </si>
  <si>
    <t>A2</t>
  </si>
  <si>
    <t>Kecil</t>
  </si>
  <si>
    <t>A3</t>
  </si>
  <si>
    <t>A4</t>
  </si>
  <si>
    <t>B1</t>
  </si>
  <si>
    <t>B2</t>
  </si>
  <si>
    <t>B3</t>
  </si>
  <si>
    <t>B4</t>
  </si>
  <si>
    <t>Waktu</t>
  </si>
  <si>
    <t>Lama
(&gt; 5 hari)</t>
  </si>
  <si>
    <t>Cepat
(&lt; 5 hari)</t>
  </si>
  <si>
    <t>Murah
(&lt; 100 K)</t>
  </si>
  <si>
    <t>Mahal
(&gt; 100 K)</t>
  </si>
  <si>
    <t>A2 B1</t>
  </si>
  <si>
    <t>A1 B1</t>
  </si>
  <si>
    <t>A2 B4</t>
  </si>
  <si>
    <t>60 hari</t>
  </si>
  <si>
    <t>4 hari</t>
  </si>
  <si>
    <t>A2 B2</t>
  </si>
  <si>
    <t>WHAT</t>
  </si>
  <si>
    <t>SOLUTION</t>
  </si>
  <si>
    <t>WHY</t>
  </si>
  <si>
    <t>HOW TO</t>
  </si>
  <si>
    <t>HOW MUCH</t>
  </si>
  <si>
    <t>Dengan adanya jadwal manual, kunjungan ke sahabat TAP menjadi lebih disiplin dan terjadwal</t>
  </si>
  <si>
    <t>- Pembuatan Jadwal
- Sosialisasi jadwal
- Pendistribusian jadwal</t>
  </si>
  <si>
    <t>Pembuatan jadwal manual per bulan</t>
  </si>
  <si>
    <t>WHERE/ WHO/ WHEN</t>
  </si>
  <si>
    <t>Where
Who
When</t>
  </si>
  <si>
    <t>: PTA
: Meri
: Jan 23</t>
  </si>
  <si>
    <t>Dengan adanya sosialisasi dapat meningkatkan pengetahuan para staff tentang sahabat tap</t>
  </si>
  <si>
    <t>- Pengaturan Jadwal
- Penyampaian Materi Sosialisasi</t>
  </si>
  <si>
    <t>: PTA
: Mitra Tamba
: Feb 23</t>
  </si>
  <si>
    <t>Dengan adanya sistem keakuratan sahabat TAP dapat dipertanggung jawabkan</t>
  </si>
  <si>
    <t>: PTA
: Mitra 
: Jan 23</t>
  </si>
  <si>
    <t xml:space="preserve">- pengumpulan data sahabat TAP
- tagging koordinat di rumah sahabat TAP
- Pembuatan Barcode berdasarkan koordinat
- integrasi data ke google form
- Intergasi data ke peta
- Uji Sistem
- implementasi lapangan </t>
  </si>
  <si>
    <t>Tabel Rencana Aktivitas Perbaikan</t>
  </si>
  <si>
    <t xml:space="preserve">PEKERJAAN </t>
  </si>
  <si>
    <t>JUMLAH</t>
  </si>
  <si>
    <t>COST/ SATUAN</t>
  </si>
  <si>
    <t>Konsumsi Sosialisasi</t>
  </si>
  <si>
    <t>Set</t>
  </si>
  <si>
    <t>EXP</t>
  </si>
  <si>
    <t xml:space="preserve">Print Jadwal </t>
  </si>
  <si>
    <t xml:space="preserve">Pengumpulan data </t>
  </si>
  <si>
    <t>HK</t>
  </si>
  <si>
    <t>Print Barcode</t>
  </si>
  <si>
    <t>Laminating Barcode</t>
  </si>
  <si>
    <t>Singkronisasi data ke google form</t>
  </si>
  <si>
    <t>Biaya lain-lain</t>
  </si>
  <si>
    <t>Total</t>
  </si>
  <si>
    <t xml:space="preserve">- pengumpulan data sahabat TAP
- tagging koordinat di rumah sahabat TAP
- Pembuatan Barcode berdasarkan 
   koordinat
- integrasi data ke google form
- Intergasi data ke peta
- Uji Sistem
- implementasi lapangan </t>
  </si>
  <si>
    <t>Sebelum Improvement</t>
  </si>
  <si>
    <t>NAMA</t>
  </si>
  <si>
    <t>7 Alat</t>
  </si>
  <si>
    <t>8 Langkah</t>
  </si>
  <si>
    <t>Pemahaman</t>
  </si>
  <si>
    <t>RATA-RATA</t>
  </si>
  <si>
    <t>Setelah Improvement</t>
  </si>
  <si>
    <t>1 kali</t>
  </si>
  <si>
    <t>Persentase kedekatan 100%</t>
  </si>
  <si>
    <t>Aktual</t>
  </si>
  <si>
    <t>Target</t>
  </si>
  <si>
    <t>Dari 0 menjadi 5 Jadwal</t>
  </si>
  <si>
    <t>Dari 0 menjadi 1 sosialisasi</t>
  </si>
  <si>
    <t xml:space="preserve">Dari 51% menjadi 100% Persentase kedakatan </t>
  </si>
  <si>
    <t>1. Data Kejadian Kebakaran/ Hotspot</t>
  </si>
  <si>
    <t>2. Data isu sosial (kalau ada)</t>
  </si>
  <si>
    <t>3. Daya Serap Budget DMPA</t>
  </si>
  <si>
    <t>4. Tingkat pemerataan ekonomi desa untuk pemilihan area project</t>
  </si>
  <si>
    <t>Data Kebakaran tahun 2023</t>
  </si>
  <si>
    <t>No.</t>
  </si>
  <si>
    <t>Tgl/Bln</t>
  </si>
  <si>
    <t>Kategori</t>
  </si>
  <si>
    <t>Lokasi</t>
  </si>
  <si>
    <t>Temuan</t>
  </si>
  <si>
    <t>Tindakan yang diambil</t>
  </si>
  <si>
    <t>Keterangan</t>
  </si>
  <si>
    <t>Latitut</t>
  </si>
  <si>
    <t>Longitut</t>
  </si>
  <si>
    <t>Firespot</t>
  </si>
  <si>
    <t>Luar IUP</t>
  </si>
  <si>
    <t>Fire</t>
  </si>
  <si>
    <t>Pemadaman</t>
  </si>
  <si>
    <t xml:space="preserve">Masyarakat membakar lahan, luas terbakar kurang lebih 0.4 Ha. </t>
  </si>
  <si>
    <t xml:space="preserve">Pemadaman </t>
  </si>
  <si>
    <t>Jarak dengan konsesi 2 km. Arah b20 kss</t>
  </si>
  <si>
    <t>Hotspot</t>
  </si>
  <si>
    <t>No Fire</t>
  </si>
  <si>
    <t>Patroli</t>
  </si>
  <si>
    <t>Jarak dengan konsesi 6 km</t>
  </si>
  <si>
    <t>Dalam IUP</t>
  </si>
  <si>
    <t>Masyarakat membakar lahan 1 Ha</t>
  </si>
  <si>
    <t xml:space="preserve">Lahan terbakar kurang lebih 1 Ha. </t>
  </si>
  <si>
    <t xml:space="preserve">Jarak dari konsesi kurang lebih 3 km. </t>
  </si>
  <si>
    <t>Masyarakat membakar lahan 2 Ha, bersebelahan dengan Afd OB</t>
  </si>
  <si>
    <t>Jarak dengan konsesi 0.5 km. Pringgan OC</t>
  </si>
  <si>
    <t>Jarak dengan konsesi 2 km</t>
  </si>
  <si>
    <t>Masyarakat membuka lahan seluas 1.5 Ha</t>
  </si>
  <si>
    <t xml:space="preserve"> No Fire</t>
  </si>
  <si>
    <t xml:space="preserve">Patroli </t>
  </si>
  <si>
    <t>Jarak dengan konsesi 1.2 km.</t>
  </si>
  <si>
    <t>Jarak dengan konsesi 1 km</t>
  </si>
  <si>
    <t>Jarak dengan konsesi 2.5 km</t>
  </si>
  <si>
    <t>Jarak dengan konsesi 3 km</t>
  </si>
  <si>
    <t>Api sudah padam saat tim tiba, Masyarakat membakar lahan seluas 1 Ha. Jarak 0.6 km dari wilayah konsesi</t>
  </si>
  <si>
    <t>Jarak 2.1 km dari wilayah konsesi</t>
  </si>
  <si>
    <t>Jarak dengan konsesi 3.2 km</t>
  </si>
  <si>
    <t>Jarak dengan konsesi 1.8 km</t>
  </si>
  <si>
    <t>Masyarakat membakar lahan seluas 2 Ha</t>
  </si>
  <si>
    <t>Masyarakat membakar lahan seluas 1.4 Ha</t>
  </si>
  <si>
    <t>Masyarakat membakar lahan 1.5 Ha</t>
  </si>
  <si>
    <t>Tgl_Bln</t>
  </si>
  <si>
    <t>DESA</t>
  </si>
  <si>
    <t>Masyarakat membakar lahan, luas terbakar kurang lebih 0.4 Ha.</t>
  </si>
  <si>
    <t>Melan</t>
  </si>
  <si>
    <t>Sika Makmur</t>
  </si>
  <si>
    <t>Jarak dari konsesi kurang lebih 3 km.</t>
  </si>
  <si>
    <t>Segoy Makmur</t>
  </si>
  <si>
    <t>Tindakan</t>
  </si>
  <si>
    <t>LATITUDE</t>
  </si>
  <si>
    <t>LONGITUDE</t>
  </si>
  <si>
    <t>TOTAL KEJADIAN</t>
  </si>
  <si>
    <t>KATAGORI</t>
  </si>
  <si>
    <t>FIRESPOT</t>
  </si>
  <si>
    <t>HOTSPOT</t>
  </si>
  <si>
    <t>KETERANGAN</t>
  </si>
  <si>
    <t>Lung Melah</t>
  </si>
  <si>
    <t>Mitha</t>
  </si>
  <si>
    <t>Project Leader</t>
  </si>
  <si>
    <t>Notulen</t>
  </si>
  <si>
    <t>Anggota</t>
  </si>
  <si>
    <t>Thema Leader</t>
  </si>
  <si>
    <t>Depta</t>
  </si>
  <si>
    <t>Sandi</t>
  </si>
  <si>
    <t>Site ?</t>
  </si>
  <si>
    <t>Naufal</t>
  </si>
  <si>
    <t>Tahap 1</t>
  </si>
  <si>
    <t>Tahap 2</t>
  </si>
  <si>
    <t>Taging TPH (survyor) + Perhitungan Pokok Lapangan per TPH (aslap)</t>
  </si>
  <si>
    <t>Update data pokok sesuai foto udara terbaru (survey</t>
  </si>
  <si>
    <t>Tahap 3</t>
  </si>
  <si>
    <t>Verifikasi batas pokok per tph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</si>
</sst>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&quot;Rp&quot;* #,##0.00_);_(&quot;Rp&quot;* \(#,##0.00\);_(&quot;Rp&quot;* &quot;-&quot;??_);_(@_)"/>
    <numFmt numFmtId="167" formatCode="_(* #,##0.00_);_(* \(#,##0.00\);_(* \-??_);_(@_)"/>
    <numFmt numFmtId="168" formatCode="_(* #,##0_);_(* \(#,##0\);_(* \-_);_(@_)"/>
    <numFmt numFmtId="169" formatCode="_(&quot;Rp&quot;* #,##0.00_);_(&quot;Rp&quot;* \(#,##0.00\);_(&quot;Rp&quot;* \-??_);_(@_)"/>
    <numFmt numFmtId="170" formatCode="_(* #,##0_);_(* \(#,##0\);_(* &quot;-&quot;?_);_(@_)"/>
    <numFmt numFmtId="171" formatCode="_-* #,##0.00_-;\-* #,##0.00_-;_-* &quot;-&quot;_-;_-@_-"/>
    <numFmt numFmtId="172" formatCode="[$-409]mmm\-yy;@"/>
    <numFmt numFmtId="173" formatCode="_-[$Rp-3809]* #,##0.00_-;\-[$Rp-3809]* #,##0.00_-;_-[$Rp-3809]* &quot;-&quot;??_-;_-@_-"/>
    <numFmt numFmtId="174" formatCode="_-[$Rp-3809]* #,##0_-;\-[$Rp-3809]* #,##0_-;_-[$Rp-3809]* &quot;-&quot;??_-;_-@_-"/>
    <numFmt numFmtId="175" formatCode="_-* #,##0.0_-;\-* #,##0.0_-;_-* &quot;-&quot;_-;_-@_-"/>
    <numFmt numFmtId="176" formatCode="_-* #,##0.0000_-;\-* #,##0.0000_-;_-* &quot;-&quot;??_-;_-@_-"/>
    <numFmt numFmtId="177" formatCode="0.0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ndara"/>
      <family val="2"/>
      <charset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b/>
      <sz val="10"/>
      <name val="Tms Rmn"/>
    </font>
    <font>
      <sz val="10"/>
      <name val="MS Sans Serif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53"/>
      <name val="Courier New"/>
      <family val="3"/>
    </font>
    <font>
      <sz val="11"/>
      <color theme="1"/>
      <name val="Calibri"/>
      <family val="2"/>
      <charset val="1"/>
      <scheme val="minor"/>
    </font>
    <font>
      <sz val="12"/>
      <color rgb="FF9C65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4"/>
      <color theme="1"/>
      <name val="Calibri"/>
      <family val="2"/>
    </font>
    <font>
      <sz val="11"/>
      <color rgb="FF000000"/>
      <name val="Franklin Gothic Book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24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8" fontId="7" fillId="0" borderId="0" applyFill="0" applyBorder="0" applyAlignment="0" applyProtection="0"/>
    <xf numFmtId="168" fontId="7" fillId="0" borderId="0" applyFill="0" applyBorder="0" applyAlignment="0" applyProtection="0"/>
    <xf numFmtId="168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9" fontId="7" fillId="0" borderId="0" applyFill="0" applyBorder="0" applyAlignment="0" applyProtection="0"/>
    <xf numFmtId="169" fontId="7" fillId="0" borderId="0" applyFill="0" applyBorder="0" applyAlignment="0" applyProtection="0"/>
    <xf numFmtId="169" fontId="7" fillId="0" borderId="0" applyFill="0" applyBorder="0" applyAlignment="0" applyProtection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38" fontId="6" fillId="4" borderId="0" applyNumberFormat="0" applyBorder="0" applyAlignment="0" applyProtection="0"/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70" fontId="5" fillId="0" borderId="0">
      <protection locked="0"/>
    </xf>
    <xf numFmtId="10" fontId="6" fillId="5" borderId="1" applyNumberFormat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7" fontId="10" fillId="0" borderId="0"/>
    <xf numFmtId="37" fontId="11" fillId="0" borderId="0"/>
    <xf numFmtId="0" fontId="8" fillId="0" borderId="0"/>
    <xf numFmtId="0" fontId="5" fillId="0" borderId="0"/>
    <xf numFmtId="0" fontId="1" fillId="0" borderId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7" applyNumberFormat="0" applyBorder="0"/>
    <xf numFmtId="10" fontId="12" fillId="0" borderId="0">
      <alignment horizontal="center"/>
    </xf>
    <xf numFmtId="0" fontId="1" fillId="0" borderId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4" fillId="2" borderId="0" applyNumberFormat="0" applyBorder="0" applyAlignment="0" applyProtection="0"/>
    <xf numFmtId="172" fontId="1" fillId="0" borderId="0"/>
    <xf numFmtId="172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0" fontId="2" fillId="0" borderId="0" xfId="0" applyFont="1"/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73" fontId="2" fillId="0" borderId="1" xfId="0" applyNumberFormat="1" applyFont="1" applyBorder="1" applyAlignment="1">
      <alignment horizontal="left" vertical="center"/>
    </xf>
    <xf numFmtId="173" fontId="0" fillId="0" borderId="1" xfId="0" applyNumberFormat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3" fontId="0" fillId="0" borderId="0" xfId="0" applyNumberFormat="1"/>
    <xf numFmtId="173" fontId="0" fillId="0" borderId="1" xfId="0" applyNumberFormat="1" applyBorder="1"/>
    <xf numFmtId="173" fontId="2" fillId="0" borderId="1" xfId="0" applyNumberFormat="1" applyFont="1" applyBorder="1"/>
    <xf numFmtId="0" fontId="2" fillId="9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75" fontId="2" fillId="0" borderId="1" xfId="196" applyNumberFormat="1" applyFont="1" applyBorder="1" applyAlignment="1">
      <alignment horizontal="center"/>
    </xf>
    <xf numFmtId="171" fontId="2" fillId="0" borderId="1" xfId="196" applyNumberFormat="1" applyFont="1" applyBorder="1" applyAlignment="1">
      <alignment horizontal="center"/>
    </xf>
    <xf numFmtId="171" fontId="2" fillId="0" borderId="1" xfId="196" applyNumberFormat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5" fillId="0" borderId="0" xfId="0" applyFont="1"/>
    <xf numFmtId="176" fontId="0" fillId="0" borderId="0" xfId="423" applyNumberFormat="1" applyFont="1"/>
    <xf numFmtId="165" fontId="0" fillId="0" borderId="0" xfId="423" applyFont="1" applyAlignment="1"/>
    <xf numFmtId="2" fontId="0" fillId="0" borderId="0" xfId="423" applyNumberFormat="1" applyFont="1" applyAlignment="1"/>
    <xf numFmtId="165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177" fontId="0" fillId="0" borderId="1" xfId="0" applyNumberFormat="1" applyBorder="1"/>
    <xf numFmtId="0" fontId="2" fillId="13" borderId="1" xfId="0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177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/>
    <xf numFmtId="0" fontId="0" fillId="9" borderId="5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 readingOrder="1"/>
    </xf>
    <xf numFmtId="0" fontId="0" fillId="6" borderId="1" xfId="0" applyFill="1" applyBorder="1" applyAlignment="1">
      <alignment horizontal="center" vertical="center" textRotation="90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1" xfId="0" applyFill="1" applyBorder="1"/>
  </cellXfs>
  <cellStyles count="424">
    <cellStyle name="Comma" xfId="423" builtinId="3"/>
    <cellStyle name="Comma  - Style1" xfId="68" xr:uid="{00000000-0005-0000-0000-000001000000}"/>
    <cellStyle name="Comma [0]" xfId="196" builtinId="6"/>
    <cellStyle name="Comma [0] 2" xfId="10" xr:uid="{00000000-0005-0000-0000-000003000000}"/>
    <cellStyle name="Comma [0] 2 2" xfId="46" xr:uid="{00000000-0005-0000-0000-000004000000}"/>
    <cellStyle name="Comma [0] 3" xfId="47" xr:uid="{00000000-0005-0000-0000-000005000000}"/>
    <cellStyle name="Comma [0] 3 2" xfId="106" xr:uid="{00000000-0005-0000-0000-000006000000}"/>
    <cellStyle name="Comma [0] 3 2 2" xfId="271" xr:uid="{00000000-0005-0000-0000-000007000000}"/>
    <cellStyle name="Comma [0] 3 2 3" xfId="326" xr:uid="{00000000-0005-0000-0000-000008000000}"/>
    <cellStyle name="Comma [0] 3 3" xfId="107" xr:uid="{00000000-0005-0000-0000-000009000000}"/>
    <cellStyle name="Comma [0] 3 3 2" xfId="272" xr:uid="{00000000-0005-0000-0000-00000A000000}"/>
    <cellStyle name="Comma [0] 3 3 3" xfId="327" xr:uid="{00000000-0005-0000-0000-00000B000000}"/>
    <cellStyle name="Comma [0] 4" xfId="48" xr:uid="{00000000-0005-0000-0000-00000C000000}"/>
    <cellStyle name="Comma 10" xfId="12" xr:uid="{00000000-0005-0000-0000-00000D000000}"/>
    <cellStyle name="Comma 11" xfId="13" xr:uid="{00000000-0005-0000-0000-00000E000000}"/>
    <cellStyle name="Comma 12" xfId="14" xr:uid="{00000000-0005-0000-0000-00000F000000}"/>
    <cellStyle name="Comma 13" xfId="15" xr:uid="{00000000-0005-0000-0000-000010000000}"/>
    <cellStyle name="Comma 14" xfId="16" xr:uid="{00000000-0005-0000-0000-000011000000}"/>
    <cellStyle name="Comma 15" xfId="17" xr:uid="{00000000-0005-0000-0000-000012000000}"/>
    <cellStyle name="Comma 16" xfId="18" xr:uid="{00000000-0005-0000-0000-000013000000}"/>
    <cellStyle name="Comma 17" xfId="19" xr:uid="{00000000-0005-0000-0000-000014000000}"/>
    <cellStyle name="Comma 18" xfId="20" xr:uid="{00000000-0005-0000-0000-000015000000}"/>
    <cellStyle name="Comma 19" xfId="21" xr:uid="{00000000-0005-0000-0000-000016000000}"/>
    <cellStyle name="Comma 2" xfId="4" xr:uid="{00000000-0005-0000-0000-000017000000}"/>
    <cellStyle name="Comma 2 2" xfId="49" xr:uid="{00000000-0005-0000-0000-000018000000}"/>
    <cellStyle name="Comma 2 2 2" xfId="108" xr:uid="{00000000-0005-0000-0000-000019000000}"/>
    <cellStyle name="Comma 2 2 2 2" xfId="109" xr:uid="{00000000-0005-0000-0000-00001A000000}"/>
    <cellStyle name="Comma 2 2 2 3" xfId="273" xr:uid="{00000000-0005-0000-0000-00001B000000}"/>
    <cellStyle name="Comma 2 2 2 4" xfId="328" xr:uid="{00000000-0005-0000-0000-00001C000000}"/>
    <cellStyle name="Comma 2 2 3" xfId="110" xr:uid="{00000000-0005-0000-0000-00001D000000}"/>
    <cellStyle name="Comma 2 2 4" xfId="111" xr:uid="{00000000-0005-0000-0000-00001E000000}"/>
    <cellStyle name="Comma 2 2 5" xfId="112" xr:uid="{00000000-0005-0000-0000-00001F000000}"/>
    <cellStyle name="Comma 2 2 6" xfId="113" xr:uid="{00000000-0005-0000-0000-000020000000}"/>
    <cellStyle name="Comma 2 2 7" xfId="114" xr:uid="{00000000-0005-0000-0000-000021000000}"/>
    <cellStyle name="Comma 2 2 8" xfId="115" xr:uid="{00000000-0005-0000-0000-000022000000}"/>
    <cellStyle name="Comma 2 3" xfId="63" xr:uid="{00000000-0005-0000-0000-000023000000}"/>
    <cellStyle name="Comma 2 4" xfId="116" xr:uid="{00000000-0005-0000-0000-000024000000}"/>
    <cellStyle name="Comma 2 4 2" xfId="274" xr:uid="{00000000-0005-0000-0000-000025000000}"/>
    <cellStyle name="Comma 2 4 3" xfId="329" xr:uid="{00000000-0005-0000-0000-000026000000}"/>
    <cellStyle name="Comma 2 5" xfId="117" xr:uid="{00000000-0005-0000-0000-000027000000}"/>
    <cellStyle name="Comma 2 5 2" xfId="275" xr:uid="{00000000-0005-0000-0000-000028000000}"/>
    <cellStyle name="Comma 2 5 3" xfId="330" xr:uid="{00000000-0005-0000-0000-000029000000}"/>
    <cellStyle name="Comma 2 6" xfId="118" xr:uid="{00000000-0005-0000-0000-00002A000000}"/>
    <cellStyle name="Comma 2 6 2" xfId="276" xr:uid="{00000000-0005-0000-0000-00002B000000}"/>
    <cellStyle name="Comma 2 6 3" xfId="331" xr:uid="{00000000-0005-0000-0000-00002C000000}"/>
    <cellStyle name="Comma 2 7" xfId="119" xr:uid="{00000000-0005-0000-0000-00002D000000}"/>
    <cellStyle name="Comma 2 7 2" xfId="277" xr:uid="{00000000-0005-0000-0000-00002E000000}"/>
    <cellStyle name="Comma 2 7 3" xfId="332" xr:uid="{00000000-0005-0000-0000-00002F000000}"/>
    <cellStyle name="Comma 2 8" xfId="120" xr:uid="{00000000-0005-0000-0000-000030000000}"/>
    <cellStyle name="Comma 2 8 2" xfId="278" xr:uid="{00000000-0005-0000-0000-000031000000}"/>
    <cellStyle name="Comma 2 8 3" xfId="333" xr:uid="{00000000-0005-0000-0000-000032000000}"/>
    <cellStyle name="Comma 20" xfId="22" xr:uid="{00000000-0005-0000-0000-000033000000}"/>
    <cellStyle name="Comma 20 2" xfId="259" xr:uid="{00000000-0005-0000-0000-000034000000}"/>
    <cellStyle name="Comma 20 3" xfId="312" xr:uid="{00000000-0005-0000-0000-000035000000}"/>
    <cellStyle name="Comma 21" xfId="23" xr:uid="{00000000-0005-0000-0000-000036000000}"/>
    <cellStyle name="Comma 21 2" xfId="260" xr:uid="{00000000-0005-0000-0000-000037000000}"/>
    <cellStyle name="Comma 21 3" xfId="313" xr:uid="{00000000-0005-0000-0000-000038000000}"/>
    <cellStyle name="Comma 22" xfId="24" xr:uid="{00000000-0005-0000-0000-000039000000}"/>
    <cellStyle name="Comma 22 2" xfId="261" xr:uid="{00000000-0005-0000-0000-00003A000000}"/>
    <cellStyle name="Comma 22 3" xfId="314" xr:uid="{00000000-0005-0000-0000-00003B000000}"/>
    <cellStyle name="Comma 23" xfId="60" xr:uid="{00000000-0005-0000-0000-00003C000000}"/>
    <cellStyle name="Comma 24" xfId="67" xr:uid="{00000000-0005-0000-0000-00003D000000}"/>
    <cellStyle name="Comma 24 2" xfId="268" xr:uid="{00000000-0005-0000-0000-00003E000000}"/>
    <cellStyle name="Comma 24 3" xfId="321" xr:uid="{00000000-0005-0000-0000-00003F000000}"/>
    <cellStyle name="Comma 25" xfId="156" xr:uid="{00000000-0005-0000-0000-000040000000}"/>
    <cellStyle name="Comma 25 2" xfId="304" xr:uid="{00000000-0005-0000-0000-000041000000}"/>
    <cellStyle name="Comma 25 3" xfId="359" xr:uid="{00000000-0005-0000-0000-000042000000}"/>
    <cellStyle name="Comma 26" xfId="3" xr:uid="{00000000-0005-0000-0000-000043000000}"/>
    <cellStyle name="Comma 27" xfId="161" xr:uid="{00000000-0005-0000-0000-000044000000}"/>
    <cellStyle name="Comma 28" xfId="176" xr:uid="{00000000-0005-0000-0000-000045000000}"/>
    <cellStyle name="Comma 29" xfId="179" xr:uid="{00000000-0005-0000-0000-000046000000}"/>
    <cellStyle name="Comma 3" xfId="25" xr:uid="{00000000-0005-0000-0000-000047000000}"/>
    <cellStyle name="Comma 3 2" xfId="121" xr:uid="{00000000-0005-0000-0000-000048000000}"/>
    <cellStyle name="Comma 30" xfId="168" xr:uid="{00000000-0005-0000-0000-000049000000}"/>
    <cellStyle name="Comma 31" xfId="167" xr:uid="{00000000-0005-0000-0000-00004A000000}"/>
    <cellStyle name="Comma 32" xfId="184" xr:uid="{00000000-0005-0000-0000-00004B000000}"/>
    <cellStyle name="Comma 33" xfId="187" xr:uid="{00000000-0005-0000-0000-00004C000000}"/>
    <cellStyle name="Comma 34" xfId="166" xr:uid="{00000000-0005-0000-0000-00004D000000}"/>
    <cellStyle name="Comma 35" xfId="169" xr:uid="{00000000-0005-0000-0000-00004E000000}"/>
    <cellStyle name="Comma 36" xfId="163" xr:uid="{00000000-0005-0000-0000-00004F000000}"/>
    <cellStyle name="Comma 37" xfId="191" xr:uid="{00000000-0005-0000-0000-000050000000}"/>
    <cellStyle name="Comma 38" xfId="193" xr:uid="{00000000-0005-0000-0000-000051000000}"/>
    <cellStyle name="Comma 39" xfId="198" xr:uid="{00000000-0005-0000-0000-000052000000}"/>
    <cellStyle name="Comma 4" xfId="26" xr:uid="{00000000-0005-0000-0000-000053000000}"/>
    <cellStyle name="Comma 4 2" xfId="50" xr:uid="{00000000-0005-0000-0000-000054000000}"/>
    <cellStyle name="Comma 40" xfId="223" xr:uid="{00000000-0005-0000-0000-000055000000}"/>
    <cellStyle name="Comma 41" xfId="211" xr:uid="{00000000-0005-0000-0000-000056000000}"/>
    <cellStyle name="Comma 42" xfId="217" xr:uid="{00000000-0005-0000-0000-000057000000}"/>
    <cellStyle name="Comma 43" xfId="206" xr:uid="{00000000-0005-0000-0000-000058000000}"/>
    <cellStyle name="Comma 44" xfId="203" xr:uid="{00000000-0005-0000-0000-000059000000}"/>
    <cellStyle name="Comma 45" xfId="220" xr:uid="{00000000-0005-0000-0000-00005A000000}"/>
    <cellStyle name="Comma 46" xfId="202" xr:uid="{00000000-0005-0000-0000-00005B000000}"/>
    <cellStyle name="Comma 47" xfId="204" xr:uid="{00000000-0005-0000-0000-00005C000000}"/>
    <cellStyle name="Comma 48" xfId="209" xr:uid="{00000000-0005-0000-0000-00005D000000}"/>
    <cellStyle name="Comma 49" xfId="218" xr:uid="{00000000-0005-0000-0000-00005E000000}"/>
    <cellStyle name="Comma 5" xfId="27" xr:uid="{00000000-0005-0000-0000-00005F000000}"/>
    <cellStyle name="Comma 5 2" xfId="51" xr:uid="{00000000-0005-0000-0000-000060000000}"/>
    <cellStyle name="Comma 50" xfId="212" xr:uid="{00000000-0005-0000-0000-000061000000}"/>
    <cellStyle name="Comma 51" xfId="216" xr:uid="{00000000-0005-0000-0000-000062000000}"/>
    <cellStyle name="Comma 52" xfId="207" xr:uid="{00000000-0005-0000-0000-000063000000}"/>
    <cellStyle name="Comma 53" xfId="199" xr:uid="{00000000-0005-0000-0000-000064000000}"/>
    <cellStyle name="Comma 54" xfId="222" xr:uid="{00000000-0005-0000-0000-000065000000}"/>
    <cellStyle name="Comma 55" xfId="256" xr:uid="{00000000-0005-0000-0000-000066000000}"/>
    <cellStyle name="Comma 56" xfId="373" xr:uid="{00000000-0005-0000-0000-000067000000}"/>
    <cellStyle name="Comma 57" xfId="253" xr:uid="{00000000-0005-0000-0000-000068000000}"/>
    <cellStyle name="Comma 58" xfId="366" xr:uid="{00000000-0005-0000-0000-000069000000}"/>
    <cellStyle name="Comma 59" xfId="215" xr:uid="{00000000-0005-0000-0000-00006A000000}"/>
    <cellStyle name="Comma 6" xfId="28" xr:uid="{00000000-0005-0000-0000-00006B000000}"/>
    <cellStyle name="Comma 6 2" xfId="29" xr:uid="{00000000-0005-0000-0000-00006C000000}"/>
    <cellStyle name="Comma 6 2 2" xfId="52" xr:uid="{00000000-0005-0000-0000-00006D000000}"/>
    <cellStyle name="Comma 60" xfId="365" xr:uid="{00000000-0005-0000-0000-00006E000000}"/>
    <cellStyle name="Comma 61" xfId="364" xr:uid="{00000000-0005-0000-0000-00006F000000}"/>
    <cellStyle name="Comma 62" xfId="213" xr:uid="{00000000-0005-0000-0000-000070000000}"/>
    <cellStyle name="Comma 63" xfId="397" xr:uid="{00000000-0005-0000-0000-000071000000}"/>
    <cellStyle name="Comma 64" xfId="377" xr:uid="{00000000-0005-0000-0000-000072000000}"/>
    <cellStyle name="Comma 65" xfId="393" xr:uid="{00000000-0005-0000-0000-000073000000}"/>
    <cellStyle name="Comma 66" xfId="400" xr:uid="{00000000-0005-0000-0000-000074000000}"/>
    <cellStyle name="Comma 67" xfId="388" xr:uid="{00000000-0005-0000-0000-000075000000}"/>
    <cellStyle name="Comma 68" xfId="387" xr:uid="{00000000-0005-0000-0000-000076000000}"/>
    <cellStyle name="Comma 69" xfId="384" xr:uid="{00000000-0005-0000-0000-000077000000}"/>
    <cellStyle name="Comma 7" xfId="30" xr:uid="{00000000-0005-0000-0000-000078000000}"/>
    <cellStyle name="Comma 70" xfId="394" xr:uid="{00000000-0005-0000-0000-000079000000}"/>
    <cellStyle name="Comma 71" xfId="378" xr:uid="{00000000-0005-0000-0000-00007A000000}"/>
    <cellStyle name="Comma 72" xfId="383" xr:uid="{00000000-0005-0000-0000-00007B000000}"/>
    <cellStyle name="Comma 73" xfId="406" xr:uid="{00000000-0005-0000-0000-00007C000000}"/>
    <cellStyle name="Comma 74" xfId="408" xr:uid="{00000000-0005-0000-0000-00007D000000}"/>
    <cellStyle name="Comma 75" xfId="411" xr:uid="{00000000-0005-0000-0000-00007E000000}"/>
    <cellStyle name="Comma 76" xfId="415" xr:uid="{00000000-0005-0000-0000-00007F000000}"/>
    <cellStyle name="Comma 77" xfId="419" xr:uid="{00000000-0005-0000-0000-000080000000}"/>
    <cellStyle name="Comma 78" xfId="417" xr:uid="{00000000-0005-0000-0000-000081000000}"/>
    <cellStyle name="Comma 8" xfId="31" xr:uid="{00000000-0005-0000-0000-000082000000}"/>
    <cellStyle name="Comma 8 2" xfId="53" xr:uid="{00000000-0005-0000-0000-000083000000}"/>
    <cellStyle name="Comma 8 2 2" xfId="263" xr:uid="{00000000-0005-0000-0000-000084000000}"/>
    <cellStyle name="Comma 8 2 3" xfId="317" xr:uid="{00000000-0005-0000-0000-000085000000}"/>
    <cellStyle name="Comma 8 3" xfId="122" xr:uid="{00000000-0005-0000-0000-000086000000}"/>
    <cellStyle name="Comma 8 3 2" xfId="279" xr:uid="{00000000-0005-0000-0000-000087000000}"/>
    <cellStyle name="Comma 8 3 3" xfId="334" xr:uid="{00000000-0005-0000-0000-000088000000}"/>
    <cellStyle name="Comma 8 4" xfId="123" xr:uid="{00000000-0005-0000-0000-000089000000}"/>
    <cellStyle name="Comma 8 4 2" xfId="280" xr:uid="{00000000-0005-0000-0000-00008A000000}"/>
    <cellStyle name="Comma 8 4 3" xfId="335" xr:uid="{00000000-0005-0000-0000-00008B000000}"/>
    <cellStyle name="Comma 9" xfId="32" xr:uid="{00000000-0005-0000-0000-00008C000000}"/>
    <cellStyle name="Curren - Style3" xfId="69" xr:uid="{00000000-0005-0000-0000-00008D000000}"/>
    <cellStyle name="Curren - Style4" xfId="70" xr:uid="{00000000-0005-0000-0000-00008E000000}"/>
    <cellStyle name="Currency 2" xfId="55" xr:uid="{00000000-0005-0000-0000-00008F000000}"/>
    <cellStyle name="Currency 3" xfId="56" xr:uid="{00000000-0005-0000-0000-000090000000}"/>
    <cellStyle name="Currency 4" xfId="57" xr:uid="{00000000-0005-0000-0000-000091000000}"/>
    <cellStyle name="Currency 5" xfId="54" xr:uid="{00000000-0005-0000-0000-000092000000}"/>
    <cellStyle name="Date" xfId="71" xr:uid="{00000000-0005-0000-0000-000093000000}"/>
    <cellStyle name="Date 2" xfId="72" xr:uid="{00000000-0005-0000-0000-000094000000}"/>
    <cellStyle name="Date 3" xfId="73" xr:uid="{00000000-0005-0000-0000-000095000000}"/>
    <cellStyle name="Date 4" xfId="74" xr:uid="{00000000-0005-0000-0000-000096000000}"/>
    <cellStyle name="Fixed" xfId="75" xr:uid="{00000000-0005-0000-0000-000097000000}"/>
    <cellStyle name="Fixed 2" xfId="76" xr:uid="{00000000-0005-0000-0000-000098000000}"/>
    <cellStyle name="Fixed 3" xfId="77" xr:uid="{00000000-0005-0000-0000-000099000000}"/>
    <cellStyle name="Fixed 4" xfId="78" xr:uid="{00000000-0005-0000-0000-00009A000000}"/>
    <cellStyle name="Grey" xfId="79" xr:uid="{00000000-0005-0000-0000-00009B000000}"/>
    <cellStyle name="Heading1" xfId="80" xr:uid="{00000000-0005-0000-0000-00009C000000}"/>
    <cellStyle name="Heading1 2" xfId="81" xr:uid="{00000000-0005-0000-0000-00009D000000}"/>
    <cellStyle name="Heading1 3" xfId="82" xr:uid="{00000000-0005-0000-0000-00009E000000}"/>
    <cellStyle name="Heading1 4" xfId="83" xr:uid="{00000000-0005-0000-0000-00009F000000}"/>
    <cellStyle name="Heading2" xfId="84" xr:uid="{00000000-0005-0000-0000-0000A0000000}"/>
    <cellStyle name="Heading2 2" xfId="85" xr:uid="{00000000-0005-0000-0000-0000A1000000}"/>
    <cellStyle name="Heading2 3" xfId="86" xr:uid="{00000000-0005-0000-0000-0000A2000000}"/>
    <cellStyle name="Heading2 4" xfId="87" xr:uid="{00000000-0005-0000-0000-0000A3000000}"/>
    <cellStyle name="Input [yellow]" xfId="88" xr:uid="{00000000-0005-0000-0000-0000A4000000}"/>
    <cellStyle name="Milliers [0]_AR1194" xfId="89" xr:uid="{00000000-0005-0000-0000-0000A5000000}"/>
    <cellStyle name="Milliers_AR1194" xfId="90" xr:uid="{00000000-0005-0000-0000-0000A6000000}"/>
    <cellStyle name="Monétaire [0]_AR1194" xfId="91" xr:uid="{00000000-0005-0000-0000-0000A7000000}"/>
    <cellStyle name="Monétaire_AR1194" xfId="92" xr:uid="{00000000-0005-0000-0000-0000A8000000}"/>
    <cellStyle name="Neutral 5" xfId="124" xr:uid="{00000000-0005-0000-0000-0000A9000000}"/>
    <cellStyle name="no dec" xfId="93" xr:uid="{00000000-0005-0000-0000-0000AA000000}"/>
    <cellStyle name="Normal" xfId="0" builtinId="0"/>
    <cellStyle name="Normal - Style1" xfId="94" xr:uid="{00000000-0005-0000-0000-0000AC000000}"/>
    <cellStyle name="Normal - Style5" xfId="95" xr:uid="{00000000-0005-0000-0000-0000AD000000}"/>
    <cellStyle name="Normal 10" xfId="33" xr:uid="{00000000-0005-0000-0000-0000AE000000}"/>
    <cellStyle name="Normal 10 2" xfId="96" xr:uid="{00000000-0005-0000-0000-0000AF000000}"/>
    <cellStyle name="Normal 11" xfId="5" xr:uid="{00000000-0005-0000-0000-0000B0000000}"/>
    <cellStyle name="Normal 11 2" xfId="34" xr:uid="{00000000-0005-0000-0000-0000B1000000}"/>
    <cellStyle name="Normal 115" xfId="97" xr:uid="{00000000-0005-0000-0000-0000B2000000}"/>
    <cellStyle name="Normal 115 2" xfId="269" xr:uid="{00000000-0005-0000-0000-0000B3000000}"/>
    <cellStyle name="Normal 115 3" xfId="322" xr:uid="{00000000-0005-0000-0000-0000B4000000}"/>
    <cellStyle name="Normal 12" xfId="35" xr:uid="{00000000-0005-0000-0000-0000B5000000}"/>
    <cellStyle name="Normal 12 2" xfId="64" xr:uid="{00000000-0005-0000-0000-0000B6000000}"/>
    <cellStyle name="Normal 12 2 2" xfId="265" xr:uid="{00000000-0005-0000-0000-0000B7000000}"/>
    <cellStyle name="Normal 12 2 3" xfId="318" xr:uid="{00000000-0005-0000-0000-0000B8000000}"/>
    <cellStyle name="Normal 12 3" xfId="262" xr:uid="{00000000-0005-0000-0000-0000B9000000}"/>
    <cellStyle name="Normal 12 4" xfId="315" xr:uid="{00000000-0005-0000-0000-0000BA000000}"/>
    <cellStyle name="Normal 13" xfId="59" xr:uid="{00000000-0005-0000-0000-0000BB000000}"/>
    <cellStyle name="Normal 14" xfId="66" xr:uid="{00000000-0005-0000-0000-0000BC000000}"/>
    <cellStyle name="Normal 14 2" xfId="125" xr:uid="{00000000-0005-0000-0000-0000BD000000}"/>
    <cellStyle name="Normal 14 2 2" xfId="281" xr:uid="{00000000-0005-0000-0000-0000BE000000}"/>
    <cellStyle name="Normal 14 2 3" xfId="336" xr:uid="{00000000-0005-0000-0000-0000BF000000}"/>
    <cellStyle name="Normal 14 3" xfId="126" xr:uid="{00000000-0005-0000-0000-0000C0000000}"/>
    <cellStyle name="Normal 14 3 2" xfId="282" xr:uid="{00000000-0005-0000-0000-0000C1000000}"/>
    <cellStyle name="Normal 14 3 3" xfId="337" xr:uid="{00000000-0005-0000-0000-0000C2000000}"/>
    <cellStyle name="Normal 14 4" xfId="267" xr:uid="{00000000-0005-0000-0000-0000C3000000}"/>
    <cellStyle name="Normal 14 5" xfId="320" xr:uid="{00000000-0005-0000-0000-0000C4000000}"/>
    <cellStyle name="Normal 15" xfId="155" xr:uid="{00000000-0005-0000-0000-0000C5000000}"/>
    <cellStyle name="Normal 15 2" xfId="303" xr:uid="{00000000-0005-0000-0000-0000C6000000}"/>
    <cellStyle name="Normal 15 3" xfId="358" xr:uid="{00000000-0005-0000-0000-0000C7000000}"/>
    <cellStyle name="Normal 16" xfId="158" xr:uid="{00000000-0005-0000-0000-0000C8000000}"/>
    <cellStyle name="Normal 16 2" xfId="306" xr:uid="{00000000-0005-0000-0000-0000C9000000}"/>
    <cellStyle name="Normal 16 3" xfId="361" xr:uid="{00000000-0005-0000-0000-0000CA000000}"/>
    <cellStyle name="Normal 17" xfId="2" xr:uid="{00000000-0005-0000-0000-0000CB000000}"/>
    <cellStyle name="Normal 18" xfId="160" xr:uid="{00000000-0005-0000-0000-0000CC000000}"/>
    <cellStyle name="Normal 19" xfId="177" xr:uid="{00000000-0005-0000-0000-0000CD000000}"/>
    <cellStyle name="Normal 2" xfId="7" xr:uid="{00000000-0005-0000-0000-0000CE000000}"/>
    <cellStyle name="Normal 2 10" xfId="127" xr:uid="{00000000-0005-0000-0000-0000CF000000}"/>
    <cellStyle name="Normal 2 10 2" xfId="283" xr:uid="{00000000-0005-0000-0000-0000D0000000}"/>
    <cellStyle name="Normal 2 10 3" xfId="338" xr:uid="{00000000-0005-0000-0000-0000D1000000}"/>
    <cellStyle name="Normal 2 11" xfId="128" xr:uid="{00000000-0005-0000-0000-0000D2000000}"/>
    <cellStyle name="Normal 2 2" xfId="9" xr:uid="{00000000-0005-0000-0000-0000D3000000}"/>
    <cellStyle name="Normal 2 2 2" xfId="11" xr:uid="{00000000-0005-0000-0000-0000D4000000}"/>
    <cellStyle name="Normal 2 2 3" xfId="65" xr:uid="{00000000-0005-0000-0000-0000D5000000}"/>
    <cellStyle name="Normal 2 2 3 2" xfId="266" xr:uid="{00000000-0005-0000-0000-0000D6000000}"/>
    <cellStyle name="Normal 2 2 3 3" xfId="319" xr:uid="{00000000-0005-0000-0000-0000D7000000}"/>
    <cellStyle name="Normal 2 2 4" xfId="258" xr:uid="{00000000-0005-0000-0000-0000D8000000}"/>
    <cellStyle name="Normal 2 2 5" xfId="310" xr:uid="{00000000-0005-0000-0000-0000D9000000}"/>
    <cellStyle name="Normal 2 3" xfId="36" xr:uid="{00000000-0005-0000-0000-0000DA000000}"/>
    <cellStyle name="Normal 2 3 2" xfId="129" xr:uid="{00000000-0005-0000-0000-0000DB000000}"/>
    <cellStyle name="Normal 2 3 2 2" xfId="284" xr:uid="{00000000-0005-0000-0000-0000DC000000}"/>
    <cellStyle name="Normal 2 3 2 3" xfId="339" xr:uid="{00000000-0005-0000-0000-0000DD000000}"/>
    <cellStyle name="Normal 2 4" xfId="58" xr:uid="{00000000-0005-0000-0000-0000DE000000}"/>
    <cellStyle name="Normal 2 5" xfId="130" xr:uid="{00000000-0005-0000-0000-0000DF000000}"/>
    <cellStyle name="Normal 2 5 2" xfId="131" xr:uid="{00000000-0005-0000-0000-0000E0000000}"/>
    <cellStyle name="Normal 2 5 2 2" xfId="286" xr:uid="{00000000-0005-0000-0000-0000E1000000}"/>
    <cellStyle name="Normal 2 5 2 3" xfId="341" xr:uid="{00000000-0005-0000-0000-0000E2000000}"/>
    <cellStyle name="Normal 2 5 3" xfId="285" xr:uid="{00000000-0005-0000-0000-0000E3000000}"/>
    <cellStyle name="Normal 2 5 4" xfId="340" xr:uid="{00000000-0005-0000-0000-0000E4000000}"/>
    <cellStyle name="Normal 2 6" xfId="132" xr:uid="{00000000-0005-0000-0000-0000E5000000}"/>
    <cellStyle name="Normal 2 6 2" xfId="133" xr:uid="{00000000-0005-0000-0000-0000E6000000}"/>
    <cellStyle name="Normal 2 6 2 2" xfId="288" xr:uid="{00000000-0005-0000-0000-0000E7000000}"/>
    <cellStyle name="Normal 2 6 2 3" xfId="343" xr:uid="{00000000-0005-0000-0000-0000E8000000}"/>
    <cellStyle name="Normal 2 6 3" xfId="287" xr:uid="{00000000-0005-0000-0000-0000E9000000}"/>
    <cellStyle name="Normal 2 6 4" xfId="342" xr:uid="{00000000-0005-0000-0000-0000EA000000}"/>
    <cellStyle name="Normal 2 7" xfId="134" xr:uid="{00000000-0005-0000-0000-0000EB000000}"/>
    <cellStyle name="Normal 2 7 2" xfId="135" xr:uid="{00000000-0005-0000-0000-0000EC000000}"/>
    <cellStyle name="Normal 2 7 2 2" xfId="290" xr:uid="{00000000-0005-0000-0000-0000ED000000}"/>
    <cellStyle name="Normal 2 7 2 3" xfId="345" xr:uid="{00000000-0005-0000-0000-0000EE000000}"/>
    <cellStyle name="Normal 2 7 3" xfId="289" xr:uid="{00000000-0005-0000-0000-0000EF000000}"/>
    <cellStyle name="Normal 2 7 4" xfId="344" xr:uid="{00000000-0005-0000-0000-0000F0000000}"/>
    <cellStyle name="Normal 2 8" xfId="136" xr:uid="{00000000-0005-0000-0000-0000F1000000}"/>
    <cellStyle name="Normal 2 8 2" xfId="137" xr:uid="{00000000-0005-0000-0000-0000F2000000}"/>
    <cellStyle name="Normal 2 8 2 2" xfId="292" xr:uid="{00000000-0005-0000-0000-0000F3000000}"/>
    <cellStyle name="Normal 2 8 2 3" xfId="347" xr:uid="{00000000-0005-0000-0000-0000F4000000}"/>
    <cellStyle name="Normal 2 8 3" xfId="291" xr:uid="{00000000-0005-0000-0000-0000F5000000}"/>
    <cellStyle name="Normal 2 8 4" xfId="346" xr:uid="{00000000-0005-0000-0000-0000F6000000}"/>
    <cellStyle name="Normal 2 9" xfId="138" xr:uid="{00000000-0005-0000-0000-0000F7000000}"/>
    <cellStyle name="Normal 2 9 2" xfId="293" xr:uid="{00000000-0005-0000-0000-0000F8000000}"/>
    <cellStyle name="Normal 2 9 3" xfId="348" xr:uid="{00000000-0005-0000-0000-0000F9000000}"/>
    <cellStyle name="Normal 2_Progress Report Plasma sd Desember 2008  - MSL" xfId="37" xr:uid="{00000000-0005-0000-0000-0000FA000000}"/>
    <cellStyle name="Normal 20" xfId="180" xr:uid="{00000000-0005-0000-0000-0000FB000000}"/>
    <cellStyle name="Normal 21" xfId="182" xr:uid="{00000000-0005-0000-0000-0000FC000000}"/>
    <cellStyle name="Normal 22" xfId="183" xr:uid="{00000000-0005-0000-0000-0000FD000000}"/>
    <cellStyle name="Normal 23" xfId="139" xr:uid="{00000000-0005-0000-0000-0000FE000000}"/>
    <cellStyle name="Normal 23 2" xfId="294" xr:uid="{00000000-0005-0000-0000-0000FF000000}"/>
    <cellStyle name="Normal 23 3" xfId="349" xr:uid="{00000000-0005-0000-0000-000000010000}"/>
    <cellStyle name="Normal 24" xfId="185" xr:uid="{00000000-0005-0000-0000-000001010000}"/>
    <cellStyle name="Normal 25" xfId="173" xr:uid="{00000000-0005-0000-0000-000002010000}"/>
    <cellStyle name="Normal 26" xfId="174" xr:uid="{00000000-0005-0000-0000-000003010000}"/>
    <cellStyle name="Normal 27" xfId="188" xr:uid="{00000000-0005-0000-0000-000004010000}"/>
    <cellStyle name="Normal 28" xfId="189" xr:uid="{00000000-0005-0000-0000-000005010000}"/>
    <cellStyle name="Normal 29" xfId="190" xr:uid="{00000000-0005-0000-0000-000006010000}"/>
    <cellStyle name="Normal 3" xfId="8" xr:uid="{00000000-0005-0000-0000-000007010000}"/>
    <cellStyle name="Normal 3 2" xfId="140" xr:uid="{00000000-0005-0000-0000-000008010000}"/>
    <cellStyle name="Normal 3 2 2" xfId="295" xr:uid="{00000000-0005-0000-0000-000009010000}"/>
    <cellStyle name="Normal 3 2 3" xfId="350" xr:uid="{00000000-0005-0000-0000-00000A010000}"/>
    <cellStyle name="Normal 30" xfId="194" xr:uid="{00000000-0005-0000-0000-00000B010000}"/>
    <cellStyle name="Normal 31" xfId="197" xr:uid="{00000000-0005-0000-0000-00000C010000}"/>
    <cellStyle name="Normal 31 2" xfId="308" xr:uid="{00000000-0005-0000-0000-00000D010000}"/>
    <cellStyle name="Normal 32" xfId="224" xr:uid="{00000000-0005-0000-0000-00000E010000}"/>
    <cellStyle name="Normal 32 2" xfId="324" xr:uid="{00000000-0005-0000-0000-00000F010000}"/>
    <cellStyle name="Normal 33" xfId="227" xr:uid="{00000000-0005-0000-0000-000010010000}"/>
    <cellStyle name="Normal 33 2" xfId="311" xr:uid="{00000000-0005-0000-0000-000011010000}"/>
    <cellStyle name="Normal 34" xfId="229" xr:uid="{00000000-0005-0000-0000-000012010000}"/>
    <cellStyle name="Normal 35" xfId="232" xr:uid="{00000000-0005-0000-0000-000013010000}"/>
    <cellStyle name="Normal 36" xfId="234" xr:uid="{00000000-0005-0000-0000-000014010000}"/>
    <cellStyle name="Normal 37" xfId="236" xr:uid="{00000000-0005-0000-0000-000015010000}"/>
    <cellStyle name="Normal 38" xfId="238" xr:uid="{00000000-0005-0000-0000-000016010000}"/>
    <cellStyle name="Normal 39" xfId="240" xr:uid="{00000000-0005-0000-0000-000017010000}"/>
    <cellStyle name="Normal 4" xfId="38" xr:uid="{00000000-0005-0000-0000-000018010000}"/>
    <cellStyle name="Normal 4 2" xfId="39" xr:uid="{00000000-0005-0000-0000-000019010000}"/>
    <cellStyle name="Normal 4 3" xfId="62" xr:uid="{00000000-0005-0000-0000-00001A010000}"/>
    <cellStyle name="Normal 4 3 2" xfId="264" xr:uid="{00000000-0005-0000-0000-00001B010000}"/>
    <cellStyle name="Normal 4 4" xfId="105" xr:uid="{00000000-0005-0000-0000-00001C010000}"/>
    <cellStyle name="Normal 4 4 2" xfId="270" xr:uid="{00000000-0005-0000-0000-00001D010000}"/>
    <cellStyle name="Normal 4 4 3" xfId="325" xr:uid="{00000000-0005-0000-0000-00001E010000}"/>
    <cellStyle name="Normal 4 5" xfId="157" xr:uid="{00000000-0005-0000-0000-00001F010000}"/>
    <cellStyle name="Normal 4 5 2" xfId="305" xr:uid="{00000000-0005-0000-0000-000020010000}"/>
    <cellStyle name="Normal 4 5 3" xfId="360" xr:uid="{00000000-0005-0000-0000-000021010000}"/>
    <cellStyle name="Normal 4 6" xfId="159" xr:uid="{00000000-0005-0000-0000-000022010000}"/>
    <cellStyle name="Normal 4 6 2" xfId="307" xr:uid="{00000000-0005-0000-0000-000023010000}"/>
    <cellStyle name="Normal 4 6 3" xfId="362" xr:uid="{00000000-0005-0000-0000-000024010000}"/>
    <cellStyle name="Normal 40" xfId="242" xr:uid="{00000000-0005-0000-0000-000025010000}"/>
    <cellStyle name="Normal 41" xfId="244" xr:uid="{00000000-0005-0000-0000-000026010000}"/>
    <cellStyle name="Normal 42" xfId="246" xr:uid="{00000000-0005-0000-0000-000027010000}"/>
    <cellStyle name="Normal 43" xfId="248" xr:uid="{00000000-0005-0000-0000-000028010000}"/>
    <cellStyle name="Normal 44" xfId="250" xr:uid="{00000000-0005-0000-0000-000029010000}"/>
    <cellStyle name="Normal 45" xfId="252" xr:uid="{00000000-0005-0000-0000-00002A010000}"/>
    <cellStyle name="Normal 46" xfId="254" xr:uid="{00000000-0005-0000-0000-00002B010000}"/>
    <cellStyle name="Normal 47" xfId="257" xr:uid="{00000000-0005-0000-0000-00002C010000}"/>
    <cellStyle name="Normal 48" xfId="201" xr:uid="{00000000-0005-0000-0000-00002D010000}"/>
    <cellStyle name="Normal 49" xfId="368" xr:uid="{00000000-0005-0000-0000-00002E010000}"/>
    <cellStyle name="Normal 5" xfId="40" xr:uid="{00000000-0005-0000-0000-00002F010000}"/>
    <cellStyle name="Normal 50" xfId="371" xr:uid="{00000000-0005-0000-0000-000030010000}"/>
    <cellStyle name="Normal 51" xfId="214" xr:uid="{00000000-0005-0000-0000-000031010000}"/>
    <cellStyle name="Normal 52" xfId="370" xr:uid="{00000000-0005-0000-0000-000032010000}"/>
    <cellStyle name="Normal 53" xfId="380" xr:uid="{00000000-0005-0000-0000-000033010000}"/>
    <cellStyle name="Normal 54" xfId="231" xr:uid="{00000000-0005-0000-0000-000034010000}"/>
    <cellStyle name="Normal 55" xfId="375" xr:uid="{00000000-0005-0000-0000-000035010000}"/>
    <cellStyle name="Normal 56" xfId="386" xr:uid="{00000000-0005-0000-0000-000036010000}"/>
    <cellStyle name="Normal 57" xfId="390" xr:uid="{00000000-0005-0000-0000-000037010000}"/>
    <cellStyle name="Normal 58" xfId="401" xr:uid="{00000000-0005-0000-0000-000038010000}"/>
    <cellStyle name="Normal 59" xfId="398" xr:uid="{00000000-0005-0000-0000-000039010000}"/>
    <cellStyle name="Normal 6" xfId="41" xr:uid="{00000000-0005-0000-0000-00003A010000}"/>
    <cellStyle name="Normal 60" xfId="369" xr:uid="{00000000-0005-0000-0000-00003B010000}"/>
    <cellStyle name="Normal 61" xfId="389" xr:uid="{00000000-0005-0000-0000-00003C010000}"/>
    <cellStyle name="Normal 62" xfId="399" xr:uid="{00000000-0005-0000-0000-00003D010000}"/>
    <cellStyle name="Normal 63" xfId="208" xr:uid="{00000000-0005-0000-0000-00003E010000}"/>
    <cellStyle name="Normal 64" xfId="391" xr:uid="{00000000-0005-0000-0000-00003F010000}"/>
    <cellStyle name="Normal 65" xfId="404" xr:uid="{00000000-0005-0000-0000-000040010000}"/>
    <cellStyle name="Normal 66" xfId="407" xr:uid="{00000000-0005-0000-0000-000041010000}"/>
    <cellStyle name="Normal 67" xfId="412" xr:uid="{00000000-0005-0000-0000-000042010000}"/>
    <cellStyle name="Normal 68" xfId="414" xr:uid="{00000000-0005-0000-0000-000043010000}"/>
    <cellStyle name="Normal 69" xfId="420" xr:uid="{00000000-0005-0000-0000-000044010000}"/>
    <cellStyle name="Normal 7" xfId="42" xr:uid="{00000000-0005-0000-0000-000045010000}"/>
    <cellStyle name="Normal 70" xfId="421" xr:uid="{00000000-0005-0000-0000-000046010000}"/>
    <cellStyle name="Normal 8" xfId="43" xr:uid="{00000000-0005-0000-0000-000047010000}"/>
    <cellStyle name="Normal 9" xfId="44" xr:uid="{00000000-0005-0000-0000-000048010000}"/>
    <cellStyle name="Percent" xfId="1" builtinId="5"/>
    <cellStyle name="Percent [2]" xfId="98" xr:uid="{00000000-0005-0000-0000-00004A010000}"/>
    <cellStyle name="Percent [2] 2" xfId="99" xr:uid="{00000000-0005-0000-0000-00004B010000}"/>
    <cellStyle name="Percent [2] 3" xfId="100" xr:uid="{00000000-0005-0000-0000-00004C010000}"/>
    <cellStyle name="Percent [2] 4" xfId="101" xr:uid="{00000000-0005-0000-0000-00004D010000}"/>
    <cellStyle name="Percent 10" xfId="165" xr:uid="{00000000-0005-0000-0000-00004E010000}"/>
    <cellStyle name="Percent 10 2" xfId="413" xr:uid="{00000000-0005-0000-0000-00004F010000}"/>
    <cellStyle name="Percent 11" xfId="186" xr:uid="{00000000-0005-0000-0000-000050010000}"/>
    <cellStyle name="Percent 12" xfId="172" xr:uid="{00000000-0005-0000-0000-000051010000}"/>
    <cellStyle name="Percent 13" xfId="170" xr:uid="{00000000-0005-0000-0000-000052010000}"/>
    <cellStyle name="Percent 14" xfId="171" xr:uid="{00000000-0005-0000-0000-000053010000}"/>
    <cellStyle name="Percent 15" xfId="192" xr:uid="{00000000-0005-0000-0000-000054010000}"/>
    <cellStyle name="Percent 16" xfId="195" xr:uid="{00000000-0005-0000-0000-000055010000}"/>
    <cellStyle name="Percent 17" xfId="200" xr:uid="{00000000-0005-0000-0000-000056010000}"/>
    <cellStyle name="Percent 17 2" xfId="309" xr:uid="{00000000-0005-0000-0000-000057010000}"/>
    <cellStyle name="Percent 18" xfId="221" xr:uid="{00000000-0005-0000-0000-000058010000}"/>
    <cellStyle name="Percent 18 2" xfId="323" xr:uid="{00000000-0005-0000-0000-000059010000}"/>
    <cellStyle name="Percent 19" xfId="205" xr:uid="{00000000-0005-0000-0000-00005A010000}"/>
    <cellStyle name="Percent 19 2" xfId="316" xr:uid="{00000000-0005-0000-0000-00005B010000}"/>
    <cellStyle name="Percent 2" xfId="45" xr:uid="{00000000-0005-0000-0000-00005C010000}"/>
    <cellStyle name="Percent 2 2" xfId="102" xr:uid="{00000000-0005-0000-0000-00005D010000}"/>
    <cellStyle name="Percent 2 2 2" xfId="141" xr:uid="{00000000-0005-0000-0000-00005E010000}"/>
    <cellStyle name="Percent 2 2 2 2" xfId="142" xr:uid="{00000000-0005-0000-0000-00005F010000}"/>
    <cellStyle name="Percent 2 2 2 3" xfId="296" xr:uid="{00000000-0005-0000-0000-000060010000}"/>
    <cellStyle name="Percent 2 2 2 4" xfId="351" xr:uid="{00000000-0005-0000-0000-000061010000}"/>
    <cellStyle name="Percent 2 2 3" xfId="143" xr:uid="{00000000-0005-0000-0000-000062010000}"/>
    <cellStyle name="Percent 2 2 4" xfId="144" xr:uid="{00000000-0005-0000-0000-000063010000}"/>
    <cellStyle name="Percent 2 2 5" xfId="145" xr:uid="{00000000-0005-0000-0000-000064010000}"/>
    <cellStyle name="Percent 2 2 6" xfId="146" xr:uid="{00000000-0005-0000-0000-000065010000}"/>
    <cellStyle name="Percent 2 2 7" xfId="147" xr:uid="{00000000-0005-0000-0000-000066010000}"/>
    <cellStyle name="Percent 2 2 8" xfId="148" xr:uid="{00000000-0005-0000-0000-000067010000}"/>
    <cellStyle name="Percent 2 3" xfId="149" xr:uid="{00000000-0005-0000-0000-000068010000}"/>
    <cellStyle name="Percent 2 3 2" xfId="297" xr:uid="{00000000-0005-0000-0000-000069010000}"/>
    <cellStyle name="Percent 2 3 3" xfId="352" xr:uid="{00000000-0005-0000-0000-00006A010000}"/>
    <cellStyle name="Percent 2 4" xfId="150" xr:uid="{00000000-0005-0000-0000-00006B010000}"/>
    <cellStyle name="Percent 2 4 2" xfId="298" xr:uid="{00000000-0005-0000-0000-00006C010000}"/>
    <cellStyle name="Percent 2 4 3" xfId="353" xr:uid="{00000000-0005-0000-0000-00006D010000}"/>
    <cellStyle name="Percent 2 5" xfId="151" xr:uid="{00000000-0005-0000-0000-00006E010000}"/>
    <cellStyle name="Percent 2 5 2" xfId="299" xr:uid="{00000000-0005-0000-0000-00006F010000}"/>
    <cellStyle name="Percent 2 5 3" xfId="354" xr:uid="{00000000-0005-0000-0000-000070010000}"/>
    <cellStyle name="Percent 2 6" xfId="152" xr:uid="{00000000-0005-0000-0000-000071010000}"/>
    <cellStyle name="Percent 2 6 2" xfId="300" xr:uid="{00000000-0005-0000-0000-000072010000}"/>
    <cellStyle name="Percent 2 6 3" xfId="355" xr:uid="{00000000-0005-0000-0000-000073010000}"/>
    <cellStyle name="Percent 2 7" xfId="153" xr:uid="{00000000-0005-0000-0000-000074010000}"/>
    <cellStyle name="Percent 2 7 2" xfId="301" xr:uid="{00000000-0005-0000-0000-000075010000}"/>
    <cellStyle name="Percent 2 7 3" xfId="356" xr:uid="{00000000-0005-0000-0000-000076010000}"/>
    <cellStyle name="Percent 2 8" xfId="154" xr:uid="{00000000-0005-0000-0000-000077010000}"/>
    <cellStyle name="Percent 2 8 2" xfId="302" xr:uid="{00000000-0005-0000-0000-000078010000}"/>
    <cellStyle name="Percent 2 8 3" xfId="357" xr:uid="{00000000-0005-0000-0000-000079010000}"/>
    <cellStyle name="Percent 20" xfId="225" xr:uid="{00000000-0005-0000-0000-00007A010000}"/>
    <cellStyle name="Percent 21" xfId="228" xr:uid="{00000000-0005-0000-0000-00007B010000}"/>
    <cellStyle name="Percent 22" xfId="230" xr:uid="{00000000-0005-0000-0000-00007C010000}"/>
    <cellStyle name="Percent 23" xfId="233" xr:uid="{00000000-0005-0000-0000-00007D010000}"/>
    <cellStyle name="Percent 24" xfId="235" xr:uid="{00000000-0005-0000-0000-00007E010000}"/>
    <cellStyle name="Percent 25" xfId="237" xr:uid="{00000000-0005-0000-0000-00007F010000}"/>
    <cellStyle name="Percent 26" xfId="239" xr:uid="{00000000-0005-0000-0000-000080010000}"/>
    <cellStyle name="Percent 27" xfId="241" xr:uid="{00000000-0005-0000-0000-000081010000}"/>
    <cellStyle name="Percent 28" xfId="243" xr:uid="{00000000-0005-0000-0000-000082010000}"/>
    <cellStyle name="Percent 29" xfId="245" xr:uid="{00000000-0005-0000-0000-000083010000}"/>
    <cellStyle name="Percent 3" xfId="61" xr:uid="{00000000-0005-0000-0000-000084010000}"/>
    <cellStyle name="Percent 30" xfId="247" xr:uid="{00000000-0005-0000-0000-000085010000}"/>
    <cellStyle name="Percent 31" xfId="249" xr:uid="{00000000-0005-0000-0000-000086010000}"/>
    <cellStyle name="Percent 32" xfId="251" xr:uid="{00000000-0005-0000-0000-000087010000}"/>
    <cellStyle name="Percent 33" xfId="255" xr:uid="{00000000-0005-0000-0000-000088010000}"/>
    <cellStyle name="Percent 34" xfId="372" xr:uid="{00000000-0005-0000-0000-000089010000}"/>
    <cellStyle name="Percent 35" xfId="226" xr:uid="{00000000-0005-0000-0000-00008A010000}"/>
    <cellStyle name="Percent 36" xfId="219" xr:uid="{00000000-0005-0000-0000-00008B010000}"/>
    <cellStyle name="Percent 37" xfId="379" xr:uid="{00000000-0005-0000-0000-00008C010000}"/>
    <cellStyle name="Percent 38" xfId="363" xr:uid="{00000000-0005-0000-0000-00008D010000}"/>
    <cellStyle name="Percent 39" xfId="210" xr:uid="{00000000-0005-0000-0000-00008E010000}"/>
    <cellStyle name="Percent 4" xfId="6" xr:uid="{00000000-0005-0000-0000-00008F010000}"/>
    <cellStyle name="Percent 40" xfId="367" xr:uid="{00000000-0005-0000-0000-000090010000}"/>
    <cellStyle name="Percent 41" xfId="396" xr:uid="{00000000-0005-0000-0000-000091010000}"/>
    <cellStyle name="Percent 42" xfId="376" xr:uid="{00000000-0005-0000-0000-000092010000}"/>
    <cellStyle name="Percent 43" xfId="385" xr:uid="{00000000-0005-0000-0000-000093010000}"/>
    <cellStyle name="Percent 44" xfId="374" xr:uid="{00000000-0005-0000-0000-000094010000}"/>
    <cellStyle name="Percent 45" xfId="395" xr:uid="{00000000-0005-0000-0000-000095010000}"/>
    <cellStyle name="Percent 46" xfId="381" xr:uid="{00000000-0005-0000-0000-000096010000}"/>
    <cellStyle name="Percent 47" xfId="392" xr:uid="{00000000-0005-0000-0000-000097010000}"/>
    <cellStyle name="Percent 48" xfId="403" xr:uid="{00000000-0005-0000-0000-000098010000}"/>
    <cellStyle name="Percent 49" xfId="382" xr:uid="{00000000-0005-0000-0000-000099010000}"/>
    <cellStyle name="Percent 5" xfId="162" xr:uid="{00000000-0005-0000-0000-00009A010000}"/>
    <cellStyle name="Percent 50" xfId="402" xr:uid="{00000000-0005-0000-0000-00009B010000}"/>
    <cellStyle name="Percent 51" xfId="405" xr:uid="{00000000-0005-0000-0000-00009C010000}"/>
    <cellStyle name="Percent 52" xfId="409" xr:uid="{00000000-0005-0000-0000-00009D010000}"/>
    <cellStyle name="Percent 53" xfId="410" xr:uid="{00000000-0005-0000-0000-00009E010000}"/>
    <cellStyle name="Percent 54" xfId="416" xr:uid="{00000000-0005-0000-0000-00009F010000}"/>
    <cellStyle name="Percent 55" xfId="422" xr:uid="{00000000-0005-0000-0000-0000A0010000}"/>
    <cellStyle name="Percent 56" xfId="418" xr:uid="{00000000-0005-0000-0000-0000A1010000}"/>
    <cellStyle name="Percent 6" xfId="175" xr:uid="{00000000-0005-0000-0000-0000A2010000}"/>
    <cellStyle name="Percent 7" xfId="164" xr:uid="{00000000-0005-0000-0000-0000A3010000}"/>
    <cellStyle name="Percent 8" xfId="178" xr:uid="{00000000-0005-0000-0000-0000A4010000}"/>
    <cellStyle name="Percent 9" xfId="181" xr:uid="{00000000-0005-0000-0000-0000A5010000}"/>
    <cellStyle name="PERCENTAGE" xfId="103" xr:uid="{00000000-0005-0000-0000-0000A6010000}"/>
    <cellStyle name="r13.5" xfId="104" xr:uid="{00000000-0005-0000-0000-0000A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Kemampuan Anggota Sebelum Improvement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Anggota!$C$3</c:f>
              <c:strCache>
                <c:ptCount val="1"/>
                <c:pt idx="0">
                  <c:v>7 Alat</c:v>
                </c:pt>
              </c:strCache>
            </c:strRef>
          </c:tx>
          <c:cat>
            <c:strRef>
              <c:f>Anggota!$A$4:$A$10</c:f>
              <c:strCache>
                <c:ptCount val="7"/>
                <c:pt idx="0">
                  <c:v>Depta</c:v>
                </c:pt>
                <c:pt idx="1">
                  <c:v>Mitha</c:v>
                </c:pt>
                <c:pt idx="2">
                  <c:v>Mitra</c:v>
                </c:pt>
                <c:pt idx="3">
                  <c:v>Sandi</c:v>
                </c:pt>
                <c:pt idx="4">
                  <c:v>Naufal</c:v>
                </c:pt>
                <c:pt idx="5">
                  <c:v>Site ?</c:v>
                </c:pt>
                <c:pt idx="6">
                  <c:v>Site ?</c:v>
                </c:pt>
              </c:strCache>
            </c:strRef>
          </c:cat>
          <c:val>
            <c:numRef>
              <c:f>Anggota!$C$4:$C$10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4F9A-431C-9D73-5E7BF538BADA}"/>
            </c:ext>
          </c:extLst>
        </c:ser>
        <c:ser>
          <c:idx val="0"/>
          <c:order val="1"/>
          <c:tx>
            <c:strRef>
              <c:f>Anggota!$D$3</c:f>
              <c:strCache>
                <c:ptCount val="1"/>
                <c:pt idx="0">
                  <c:v>8 Langkah</c:v>
                </c:pt>
              </c:strCache>
            </c:strRef>
          </c:tx>
          <c:cat>
            <c:strRef>
              <c:f>Anggota!$A$4:$A$10</c:f>
              <c:strCache>
                <c:ptCount val="7"/>
                <c:pt idx="0">
                  <c:v>Depta</c:v>
                </c:pt>
                <c:pt idx="1">
                  <c:v>Mitha</c:v>
                </c:pt>
                <c:pt idx="2">
                  <c:v>Mitra</c:v>
                </c:pt>
                <c:pt idx="3">
                  <c:v>Sandi</c:v>
                </c:pt>
                <c:pt idx="4">
                  <c:v>Naufal</c:v>
                </c:pt>
                <c:pt idx="5">
                  <c:v>Site ?</c:v>
                </c:pt>
                <c:pt idx="6">
                  <c:v>Site ?</c:v>
                </c:pt>
              </c:strCache>
            </c:strRef>
          </c:cat>
          <c:val>
            <c:numRef>
              <c:f>Anggota!$D$4:$D$10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4F9A-431C-9D73-5E7BF538BADA}"/>
            </c:ext>
          </c:extLst>
        </c:ser>
        <c:ser>
          <c:idx val="1"/>
          <c:order val="2"/>
          <c:tx>
            <c:strRef>
              <c:f>Anggota!$E$3</c:f>
              <c:strCache>
                <c:ptCount val="1"/>
                <c:pt idx="0">
                  <c:v>Pemahaman</c:v>
                </c:pt>
              </c:strCache>
            </c:strRef>
          </c:tx>
          <c:cat>
            <c:strRef>
              <c:f>Anggota!$A$4:$A$10</c:f>
              <c:strCache>
                <c:ptCount val="7"/>
                <c:pt idx="0">
                  <c:v>Depta</c:v>
                </c:pt>
                <c:pt idx="1">
                  <c:v>Mitha</c:v>
                </c:pt>
                <c:pt idx="2">
                  <c:v>Mitra</c:v>
                </c:pt>
                <c:pt idx="3">
                  <c:v>Sandi</c:v>
                </c:pt>
                <c:pt idx="4">
                  <c:v>Naufal</c:v>
                </c:pt>
                <c:pt idx="5">
                  <c:v>Site ?</c:v>
                </c:pt>
                <c:pt idx="6">
                  <c:v>Site ?</c:v>
                </c:pt>
              </c:strCache>
            </c:strRef>
          </c:cat>
          <c:val>
            <c:numRef>
              <c:f>Anggota!$E$4:$E$10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4F9A-431C-9D73-5E7BF538B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210880"/>
        <c:axId val="239213184"/>
      </c:radarChart>
      <c:catAx>
        <c:axId val="23921088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39213184"/>
        <c:crosses val="autoZero"/>
        <c:auto val="1"/>
        <c:lblAlgn val="ctr"/>
        <c:lblOffset val="100"/>
        <c:noMultiLvlLbl val="0"/>
      </c:catAx>
      <c:valAx>
        <c:axId val="239213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2108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Evaluasi Kemampuan Anggota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Anggota!$C$2</c:f>
              <c:strCache>
                <c:ptCount val="1"/>
                <c:pt idx="0">
                  <c:v>Sebelum Improvement</c:v>
                </c:pt>
              </c:strCache>
            </c:strRef>
          </c:tx>
          <c:cat>
            <c:strRef>
              <c:f>Anggota!$A$4:$A$10</c:f>
              <c:strCache>
                <c:ptCount val="7"/>
                <c:pt idx="0">
                  <c:v>Depta</c:v>
                </c:pt>
                <c:pt idx="1">
                  <c:v>Mitha</c:v>
                </c:pt>
                <c:pt idx="2">
                  <c:v>Mitra</c:v>
                </c:pt>
                <c:pt idx="3">
                  <c:v>Sandi</c:v>
                </c:pt>
                <c:pt idx="4">
                  <c:v>Naufal</c:v>
                </c:pt>
                <c:pt idx="5">
                  <c:v>Site ?</c:v>
                </c:pt>
                <c:pt idx="6">
                  <c:v>Site ?</c:v>
                </c:pt>
              </c:strCache>
            </c:strRef>
          </c:cat>
          <c:val>
            <c:numRef>
              <c:f>Anggota!$F$4:$F$10</c:f>
              <c:numCache>
                <c:formatCode>_-* #,##0.0_-;\-* #,##0.0_-;_-* "-"_-;_-@_-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C-4B0C-93F4-F62F2A1BED96}"/>
            </c:ext>
          </c:extLst>
        </c:ser>
        <c:ser>
          <c:idx val="1"/>
          <c:order val="1"/>
          <c:tx>
            <c:strRef>
              <c:f>Anggota!$G$2</c:f>
              <c:strCache>
                <c:ptCount val="1"/>
                <c:pt idx="0">
                  <c:v>Setelah Improvement</c:v>
                </c:pt>
              </c:strCache>
            </c:strRef>
          </c:tx>
          <c:cat>
            <c:strRef>
              <c:f>Anggota!$A$4:$A$10</c:f>
              <c:strCache>
                <c:ptCount val="7"/>
                <c:pt idx="0">
                  <c:v>Depta</c:v>
                </c:pt>
                <c:pt idx="1">
                  <c:v>Mitha</c:v>
                </c:pt>
                <c:pt idx="2">
                  <c:v>Mitra</c:v>
                </c:pt>
                <c:pt idx="3">
                  <c:v>Sandi</c:v>
                </c:pt>
                <c:pt idx="4">
                  <c:v>Naufal</c:v>
                </c:pt>
                <c:pt idx="5">
                  <c:v>Site ?</c:v>
                </c:pt>
                <c:pt idx="6">
                  <c:v>Site ?</c:v>
                </c:pt>
              </c:strCache>
            </c:strRef>
          </c:cat>
          <c:val>
            <c:numRef>
              <c:f>Anggota!$J$4:$J$10</c:f>
              <c:numCache>
                <c:formatCode>_-* #,##0.00_-;\-* #,##0.00_-;_-* "-"_-;_-@_-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C-4B0C-93F4-F62F2A1BE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2336"/>
        <c:axId val="368419200"/>
      </c:radarChart>
      <c:catAx>
        <c:axId val="25718233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id-ID"/>
          </a:p>
        </c:txPr>
        <c:crossAx val="368419200"/>
        <c:crosses val="autoZero"/>
        <c:auto val="1"/>
        <c:lblAlgn val="ctr"/>
        <c:lblOffset val="100"/>
        <c:noMultiLvlLbl val="0"/>
      </c:catAx>
      <c:valAx>
        <c:axId val="368419200"/>
        <c:scaling>
          <c:orientation val="minMax"/>
        </c:scaling>
        <c:delete val="0"/>
        <c:axPos val="l"/>
        <c:majorGridlines/>
        <c:numFmt formatCode="_-* #,##0.0_-;\-* #,##0.0_-;_-* &quot;-&quot;_-;_-@_-" sourceLinked="1"/>
        <c:majorTickMark val="cross"/>
        <c:minorTickMark val="none"/>
        <c:tickLblPos val="nextTo"/>
        <c:txPr>
          <a:bodyPr/>
          <a:lstStyle/>
          <a:p>
            <a:pPr>
              <a:defRPr sz="900"/>
            </a:pPr>
            <a:endParaRPr lang="id-ID"/>
          </a:p>
        </c:txPr>
        <c:crossAx val="25718233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id-ID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Kemampuan</a:t>
            </a:r>
            <a:r>
              <a:rPr lang="en-US" sz="1200" baseline="0"/>
              <a:t> Anggota Setelah Improvement</a:t>
            </a:r>
            <a:endParaRPr lang="en-US" sz="1200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Anggota!$G$3</c:f>
              <c:strCache>
                <c:ptCount val="1"/>
                <c:pt idx="0">
                  <c:v>7 Alat</c:v>
                </c:pt>
              </c:strCache>
            </c:strRef>
          </c:tx>
          <c:cat>
            <c:strRef>
              <c:f>Anggota!$A$4:$A$10</c:f>
              <c:strCache>
                <c:ptCount val="7"/>
                <c:pt idx="0">
                  <c:v>Depta</c:v>
                </c:pt>
                <c:pt idx="1">
                  <c:v>Mitha</c:v>
                </c:pt>
                <c:pt idx="2">
                  <c:v>Mitra</c:v>
                </c:pt>
                <c:pt idx="3">
                  <c:v>Sandi</c:v>
                </c:pt>
                <c:pt idx="4">
                  <c:v>Naufal</c:v>
                </c:pt>
                <c:pt idx="5">
                  <c:v>Site ?</c:v>
                </c:pt>
                <c:pt idx="6">
                  <c:v>Site ?</c:v>
                </c:pt>
              </c:strCache>
            </c:strRef>
          </c:cat>
          <c:val>
            <c:numRef>
              <c:f>Anggota!$G$4:$G$10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9872-4431-B341-A20DDB496BA2}"/>
            </c:ext>
          </c:extLst>
        </c:ser>
        <c:ser>
          <c:idx val="1"/>
          <c:order val="1"/>
          <c:tx>
            <c:strRef>
              <c:f>Anggota!$H$3</c:f>
              <c:strCache>
                <c:ptCount val="1"/>
                <c:pt idx="0">
                  <c:v>8 Langkah</c:v>
                </c:pt>
              </c:strCache>
            </c:strRef>
          </c:tx>
          <c:cat>
            <c:strRef>
              <c:f>Anggota!$A$4:$A$10</c:f>
              <c:strCache>
                <c:ptCount val="7"/>
                <c:pt idx="0">
                  <c:v>Depta</c:v>
                </c:pt>
                <c:pt idx="1">
                  <c:v>Mitha</c:v>
                </c:pt>
                <c:pt idx="2">
                  <c:v>Mitra</c:v>
                </c:pt>
                <c:pt idx="3">
                  <c:v>Sandi</c:v>
                </c:pt>
                <c:pt idx="4">
                  <c:v>Naufal</c:v>
                </c:pt>
                <c:pt idx="5">
                  <c:v>Site ?</c:v>
                </c:pt>
                <c:pt idx="6">
                  <c:v>Site ?</c:v>
                </c:pt>
              </c:strCache>
            </c:strRef>
          </c:cat>
          <c:val>
            <c:numRef>
              <c:f>Anggota!$H$4:$H$10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9872-4431-B341-A20DDB496BA2}"/>
            </c:ext>
          </c:extLst>
        </c:ser>
        <c:ser>
          <c:idx val="3"/>
          <c:order val="2"/>
          <c:tx>
            <c:strRef>
              <c:f>Anggota!$I$3</c:f>
              <c:strCache>
                <c:ptCount val="1"/>
                <c:pt idx="0">
                  <c:v>Pemahaman</c:v>
                </c:pt>
              </c:strCache>
            </c:strRef>
          </c:tx>
          <c:cat>
            <c:strRef>
              <c:f>Anggota!$A$4:$A$10</c:f>
              <c:strCache>
                <c:ptCount val="7"/>
                <c:pt idx="0">
                  <c:v>Depta</c:v>
                </c:pt>
                <c:pt idx="1">
                  <c:v>Mitha</c:v>
                </c:pt>
                <c:pt idx="2">
                  <c:v>Mitra</c:v>
                </c:pt>
                <c:pt idx="3">
                  <c:v>Sandi</c:v>
                </c:pt>
                <c:pt idx="4">
                  <c:v>Naufal</c:v>
                </c:pt>
                <c:pt idx="5">
                  <c:v>Site ?</c:v>
                </c:pt>
                <c:pt idx="6">
                  <c:v>Site ?</c:v>
                </c:pt>
              </c:strCache>
            </c:strRef>
          </c:cat>
          <c:val>
            <c:numRef>
              <c:f>Anggota!$I$4:$I$10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9872-4431-B341-A20DDB496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37504"/>
        <c:axId val="187466112"/>
      </c:radarChart>
      <c:catAx>
        <c:axId val="41603750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id-ID"/>
          </a:p>
        </c:txPr>
        <c:crossAx val="187466112"/>
        <c:crosses val="autoZero"/>
        <c:auto val="1"/>
        <c:lblAlgn val="ctr"/>
        <c:lblOffset val="100"/>
        <c:noMultiLvlLbl val="0"/>
      </c:catAx>
      <c:valAx>
        <c:axId val="18746611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41603750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id-ID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38100">
                <a:solidFill>
                  <a:srgbClr val="FF0000"/>
                </a:solidFill>
                <a:headEnd type="none" w="med" len="med"/>
                <a:tailEnd type="triangle" w="med" len="med"/>
              </a:ln>
            </c:spPr>
            <c:trendlineType val="linear"/>
            <c:dispRSqr val="0"/>
            <c:dispEq val="0"/>
          </c:trendline>
          <c:cat>
            <c:strRef>
              <c:f>(smart!$A$3,smart!$C$3)</c:f>
              <c:strCache>
                <c:ptCount val="2"/>
                <c:pt idx="0">
                  <c:v>KONDISI SAAT INI</c:v>
                </c:pt>
                <c:pt idx="1">
                  <c:v>TARGET S/D MEI 2023</c:v>
                </c:pt>
              </c:strCache>
            </c:strRef>
          </c:cat>
          <c:val>
            <c:numRef>
              <c:f>(smart!$A$5,smart!$C$5)</c:f>
              <c:numCache>
                <c:formatCode>General</c:formatCode>
                <c:ptCount val="2"/>
                <c:pt idx="0">
                  <c:v>20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E0-41C1-9E50-A009E0821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802048"/>
        <c:axId val="238803584"/>
      </c:barChart>
      <c:catAx>
        <c:axId val="238802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8803584"/>
        <c:crosses val="autoZero"/>
        <c:auto val="1"/>
        <c:lblAlgn val="ctr"/>
        <c:lblOffset val="100"/>
        <c:noMultiLvlLbl val="0"/>
      </c:catAx>
      <c:valAx>
        <c:axId val="238803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38802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/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'rencana aktivitas'!$M$2:$N$2</c:f>
              <c:strCache>
                <c:ptCount val="2"/>
                <c:pt idx="0">
                  <c:v>Aktual</c:v>
                </c:pt>
                <c:pt idx="1">
                  <c:v>Target</c:v>
                </c:pt>
              </c:strCache>
            </c:strRef>
          </c:cat>
          <c:val>
            <c:numRef>
              <c:f>'rencana aktivitas'!$M$3:$N$3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2-4F31-8273-1D0F43423D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8847488"/>
        <c:axId val="238862720"/>
      </c:barChart>
      <c:catAx>
        <c:axId val="238847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id-ID"/>
          </a:p>
        </c:txPr>
        <c:crossAx val="238862720"/>
        <c:crosses val="autoZero"/>
        <c:auto val="1"/>
        <c:lblAlgn val="ctr"/>
        <c:lblOffset val="100"/>
        <c:noMultiLvlLbl val="0"/>
      </c:catAx>
      <c:valAx>
        <c:axId val="238862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id-ID"/>
          </a:p>
        </c:txPr>
        <c:crossAx val="238847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US" sz="700"/>
              <a:t>% Kedekatan </a:t>
            </a:r>
          </a:p>
          <a:p>
            <a:pPr>
              <a:defRPr sz="700"/>
            </a:pPr>
            <a:r>
              <a:rPr lang="en-US" sz="700"/>
              <a:t>Sahabat TAP</a:t>
            </a:r>
          </a:p>
        </c:rich>
      </c:tx>
      <c:layout>
        <c:manualLayout>
          <c:xMode val="edge"/>
          <c:yMode val="edge"/>
          <c:x val="0.3030964034901043"/>
          <c:y val="3.0395136778115502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/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'rencana aktivitas'!$M$2:$N$2</c:f>
              <c:strCache>
                <c:ptCount val="2"/>
                <c:pt idx="0">
                  <c:v>Aktual</c:v>
                </c:pt>
                <c:pt idx="1">
                  <c:v>Target</c:v>
                </c:pt>
              </c:strCache>
            </c:strRef>
          </c:cat>
          <c:val>
            <c:numRef>
              <c:f>'rencana aktivitas'!$M$5:$N$5</c:f>
              <c:numCache>
                <c:formatCode>General</c:formatCode>
                <c:ptCount val="2"/>
                <c:pt idx="0">
                  <c:v>51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6-4B1B-B27D-FB793A15E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869888"/>
        <c:axId val="238949504"/>
      </c:barChart>
      <c:catAx>
        <c:axId val="238869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id-ID"/>
          </a:p>
        </c:txPr>
        <c:crossAx val="238949504"/>
        <c:crosses val="autoZero"/>
        <c:auto val="1"/>
        <c:lblAlgn val="ctr"/>
        <c:lblOffset val="100"/>
        <c:noMultiLvlLbl val="0"/>
      </c:catAx>
      <c:valAx>
        <c:axId val="238949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id-ID"/>
          </a:p>
        </c:txPr>
        <c:crossAx val="238869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/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'rencana aktivitas'!$M$2:$N$2</c:f>
              <c:strCache>
                <c:ptCount val="2"/>
                <c:pt idx="0">
                  <c:v>Aktual</c:v>
                </c:pt>
                <c:pt idx="1">
                  <c:v>Target</c:v>
                </c:pt>
              </c:strCache>
            </c:strRef>
          </c:cat>
          <c:val>
            <c:numRef>
              <c:f>'rencana aktivitas'!$M$3:$N$3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D-4065-8156-84244785BB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8956544"/>
        <c:axId val="238959232"/>
      </c:barChart>
      <c:catAx>
        <c:axId val="238956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id-ID"/>
          </a:p>
        </c:txPr>
        <c:crossAx val="238959232"/>
        <c:crosses val="autoZero"/>
        <c:auto val="1"/>
        <c:lblAlgn val="ctr"/>
        <c:lblOffset val="100"/>
        <c:noMultiLvlLbl val="0"/>
      </c:catAx>
      <c:valAx>
        <c:axId val="238959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id-ID"/>
          </a:p>
        </c:txPr>
        <c:crossAx val="238956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US" sz="700"/>
              <a:t>Sosialisasi Sahabat TAP</a:t>
            </a:r>
          </a:p>
        </c:rich>
      </c:tx>
      <c:layout>
        <c:manualLayout>
          <c:xMode val="edge"/>
          <c:yMode val="edge"/>
          <c:x val="0.25946667380863109"/>
          <c:y val="6.88298918387414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/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'rencana aktivitas'!$M$2:$N$2</c:f>
              <c:strCache>
                <c:ptCount val="2"/>
                <c:pt idx="0">
                  <c:v>Aktual</c:v>
                </c:pt>
                <c:pt idx="1">
                  <c:v>Target</c:v>
                </c:pt>
              </c:strCache>
            </c:strRef>
          </c:cat>
          <c:val>
            <c:numRef>
              <c:f>'rencana aktivitas'!$M$4:$N$4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F-4585-AF86-6635E2AC5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71136"/>
        <c:axId val="238981120"/>
      </c:barChart>
      <c:catAx>
        <c:axId val="238971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id-ID"/>
          </a:p>
        </c:txPr>
        <c:crossAx val="238981120"/>
        <c:crosses val="autoZero"/>
        <c:auto val="1"/>
        <c:lblAlgn val="ctr"/>
        <c:lblOffset val="100"/>
        <c:noMultiLvlLbl val="0"/>
      </c:catAx>
      <c:valAx>
        <c:axId val="238981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id-ID"/>
          </a:p>
        </c:txPr>
        <c:crossAx val="238971136"/>
        <c:crosses val="autoZero"/>
        <c:crossBetween val="between"/>
        <c:majorUnit val="0.5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US" sz="700"/>
              <a:t>Sosialisasi Sahabat TAP</a:t>
            </a:r>
          </a:p>
        </c:rich>
      </c:tx>
      <c:layout>
        <c:manualLayout>
          <c:xMode val="edge"/>
          <c:yMode val="edge"/>
          <c:x val="0.25946667380863109"/>
          <c:y val="6.88298918387414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/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'rencana aktivitas'!$M$2:$N$2</c:f>
              <c:strCache>
                <c:ptCount val="2"/>
                <c:pt idx="0">
                  <c:v>Aktual</c:v>
                </c:pt>
                <c:pt idx="1">
                  <c:v>Target</c:v>
                </c:pt>
              </c:strCache>
            </c:strRef>
          </c:cat>
          <c:val>
            <c:numRef>
              <c:f>'rencana aktivitas'!$M$4:$N$4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7-4EFF-A480-B81319D5E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380864"/>
        <c:axId val="249382400"/>
      </c:barChart>
      <c:catAx>
        <c:axId val="249380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id-ID"/>
          </a:p>
        </c:txPr>
        <c:crossAx val="249382400"/>
        <c:crosses val="autoZero"/>
        <c:auto val="1"/>
        <c:lblAlgn val="ctr"/>
        <c:lblOffset val="100"/>
        <c:noMultiLvlLbl val="0"/>
      </c:catAx>
      <c:valAx>
        <c:axId val="249382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id-ID"/>
          </a:p>
        </c:txPr>
        <c:crossAx val="249380864"/>
        <c:crosses val="autoZero"/>
        <c:crossBetween val="between"/>
        <c:majorUnit val="0.5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13</xdr:row>
      <xdr:rowOff>94298</xdr:rowOff>
    </xdr:from>
    <xdr:to>
      <xdr:col>6</xdr:col>
      <xdr:colOff>426720</xdr:colOff>
      <xdr:row>33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0</xdr:row>
      <xdr:rowOff>156210</xdr:rowOff>
    </xdr:from>
    <xdr:to>
      <xdr:col>18</xdr:col>
      <xdr:colOff>205740</xdr:colOff>
      <xdr:row>13</xdr:row>
      <xdr:rowOff>49530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</xdr:colOff>
      <xdr:row>13</xdr:row>
      <xdr:rowOff>87630</xdr:rowOff>
    </xdr:from>
    <xdr:to>
      <xdr:col>15</xdr:col>
      <xdr:colOff>274320</xdr:colOff>
      <xdr:row>33</xdr:row>
      <xdr:rowOff>45720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8</xdr:row>
      <xdr:rowOff>26670</xdr:rowOff>
    </xdr:from>
    <xdr:to>
      <xdr:col>7</xdr:col>
      <xdr:colOff>457200</xdr:colOff>
      <xdr:row>23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89535</xdr:colOff>
      <xdr:row>2</xdr:row>
      <xdr:rowOff>76200</xdr:rowOff>
    </xdr:from>
    <xdr:to>
      <xdr:col>8</xdr:col>
      <xdr:colOff>1163955</xdr:colOff>
      <xdr:row>2</xdr:row>
      <xdr:rowOff>1162050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</xdr:colOff>
      <xdr:row>4</xdr:row>
      <xdr:rowOff>249555</xdr:rowOff>
    </xdr:from>
    <xdr:to>
      <xdr:col>8</xdr:col>
      <xdr:colOff>1173480</xdr:colOff>
      <xdr:row>4</xdr:row>
      <xdr:rowOff>1503045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91440</xdr:colOff>
      <xdr:row>5</xdr:row>
      <xdr:rowOff>144780</xdr:rowOff>
    </xdr:from>
    <xdr:to>
      <xdr:col>8</xdr:col>
      <xdr:colOff>1165860</xdr:colOff>
      <xdr:row>5</xdr:row>
      <xdr:rowOff>1245870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55245</xdr:colOff>
      <xdr:row>3</xdr:row>
      <xdr:rowOff>59055</xdr:rowOff>
    </xdr:from>
    <xdr:to>
      <xdr:col>8</xdr:col>
      <xdr:colOff>1175385</xdr:colOff>
      <xdr:row>3</xdr:row>
      <xdr:rowOff>1266825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53340</xdr:colOff>
      <xdr:row>6</xdr:row>
      <xdr:rowOff>83820</xdr:rowOff>
    </xdr:from>
    <xdr:to>
      <xdr:col>8</xdr:col>
      <xdr:colOff>1173480</xdr:colOff>
      <xdr:row>6</xdr:row>
      <xdr:rowOff>1375410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15</xdr:row>
      <xdr:rowOff>182878</xdr:rowOff>
    </xdr:from>
    <xdr:to>
      <xdr:col>10</xdr:col>
      <xdr:colOff>175263</xdr:colOff>
      <xdr:row>22</xdr:row>
      <xdr:rowOff>30481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533390" y="2945128"/>
          <a:ext cx="2484123" cy="1136653"/>
          <a:chOff x="5433060" y="2926078"/>
          <a:chExt cx="2484123" cy="1127763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5463540" y="3120901"/>
            <a:ext cx="1173480" cy="902459"/>
          </a:xfrm>
          <a:prstGeom prst="rect">
            <a:avLst/>
          </a:prstGeom>
          <a:ln w="317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1000"/>
          </a:p>
        </xdr:txBody>
      </xdr:sp>
      <xdr:pic>
        <xdr:nvPicPr>
          <xdr:cNvPr id="3" name="Picture 2" descr="Diagram, schematic&#10;&#10;Description automatically generated">
            <a:extLst>
              <a:ext uri="{FF2B5EF4-FFF2-40B4-BE49-F238E27FC236}">
                <a16:creationId xmlns:a16="http://schemas.microsoft.com/office/drawing/2014/main" id="{EEDF5EBE-0160-937F-4793-1EF43DD5B93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65864"/>
          <a:stretch/>
        </xdr:blipFill>
        <xdr:spPr>
          <a:xfrm rot="16200000">
            <a:off x="6722821" y="2855518"/>
            <a:ext cx="1123801" cy="1264922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08320" y="3048001"/>
            <a:ext cx="985291" cy="100584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A00-000002000000}"/>
              </a:ext>
            </a:extLst>
          </xdr:cNvPr>
          <xdr:cNvSpPr txBox="1"/>
        </xdr:nvSpPr>
        <xdr:spPr>
          <a:xfrm>
            <a:off x="5463540" y="2960881"/>
            <a:ext cx="1173480" cy="168069"/>
          </a:xfrm>
          <a:prstGeom prst="rect">
            <a:avLst/>
          </a:prstGeom>
          <a:ln w="317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00"/>
              <a:t>Dibuat</a:t>
            </a:r>
          </a:p>
        </xdr:txBody>
      </xdr: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CxnSpPr/>
        </xdr:nvCxnSpPr>
        <xdr:spPr>
          <a:xfrm flipH="1">
            <a:off x="5463540" y="3840480"/>
            <a:ext cx="117348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CxnSpPr/>
        </xdr:nvCxnSpPr>
        <xdr:spPr>
          <a:xfrm flipH="1">
            <a:off x="5433060" y="4023360"/>
            <a:ext cx="117348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8"/>
  <sheetViews>
    <sheetView zoomScaleNormal="100" workbookViewId="0">
      <selection activeCell="A9" sqref="A9"/>
    </sheetView>
  </sheetViews>
  <sheetFormatPr defaultRowHeight="14.5" x14ac:dyDescent="0.35"/>
  <cols>
    <col min="1" max="2" width="17.453125" customWidth="1"/>
    <col min="3" max="5" width="7.453125" customWidth="1"/>
    <col min="6" max="6" width="6.90625" customWidth="1"/>
    <col min="7" max="9" width="7.54296875" customWidth="1"/>
    <col min="10" max="10" width="6.90625" customWidth="1"/>
  </cols>
  <sheetData>
    <row r="2" spans="1:10" x14ac:dyDescent="0.35">
      <c r="A2" s="83" t="s">
        <v>153</v>
      </c>
      <c r="B2" s="83" t="s">
        <v>3</v>
      </c>
      <c r="C2" s="85" t="s">
        <v>152</v>
      </c>
      <c r="D2" s="85"/>
      <c r="E2" s="85"/>
      <c r="F2" s="86" t="s">
        <v>157</v>
      </c>
      <c r="G2" s="85" t="s">
        <v>158</v>
      </c>
      <c r="H2" s="85"/>
      <c r="I2" s="85"/>
      <c r="J2" s="86" t="s">
        <v>157</v>
      </c>
    </row>
    <row r="3" spans="1:10" ht="29.4" customHeight="1" x14ac:dyDescent="0.35">
      <c r="A3" s="84"/>
      <c r="B3" s="84"/>
      <c r="C3" s="65" t="s">
        <v>154</v>
      </c>
      <c r="D3" s="65" t="s">
        <v>155</v>
      </c>
      <c r="E3" s="65" t="s">
        <v>156</v>
      </c>
      <c r="F3" s="86"/>
      <c r="G3" s="65" t="s">
        <v>154</v>
      </c>
      <c r="H3" s="65" t="s">
        <v>155</v>
      </c>
      <c r="I3" s="65" t="s">
        <v>156</v>
      </c>
      <c r="J3" s="86"/>
    </row>
    <row r="4" spans="1:10" x14ac:dyDescent="0.35">
      <c r="A4" s="3" t="s">
        <v>233</v>
      </c>
      <c r="B4" s="3" t="s">
        <v>229</v>
      </c>
      <c r="C4" s="1"/>
      <c r="D4" s="1"/>
      <c r="E4" s="1"/>
      <c r="F4" s="66">
        <f>IFERROR(AVERAGE(C4:E4),0)</f>
        <v>0</v>
      </c>
      <c r="G4" s="1"/>
      <c r="H4" s="1"/>
      <c r="I4" s="1"/>
      <c r="J4" s="67">
        <f>IFERROR(AVERAGE(G4:I4),0)</f>
        <v>0</v>
      </c>
    </row>
    <row r="5" spans="1:10" x14ac:dyDescent="0.35">
      <c r="A5" s="3" t="s">
        <v>228</v>
      </c>
      <c r="B5" s="3" t="s">
        <v>232</v>
      </c>
      <c r="C5" s="1"/>
      <c r="D5" s="1"/>
      <c r="E5" s="1"/>
      <c r="F5" s="66">
        <f t="shared" ref="F5:F10" si="0">IFERROR(AVERAGE(C5:E5),0)</f>
        <v>0</v>
      </c>
      <c r="G5" s="1"/>
      <c r="H5" s="1"/>
      <c r="I5" s="1"/>
      <c r="J5" s="67">
        <f t="shared" ref="J5:J10" si="1">IFERROR(AVERAGE(G5:I5),0)</f>
        <v>0</v>
      </c>
    </row>
    <row r="6" spans="1:10" x14ac:dyDescent="0.35">
      <c r="A6" s="3" t="s">
        <v>25</v>
      </c>
      <c r="B6" s="3" t="s">
        <v>230</v>
      </c>
      <c r="C6" s="1"/>
      <c r="D6" s="1"/>
      <c r="E6" s="1"/>
      <c r="F6" s="66">
        <f t="shared" si="0"/>
        <v>0</v>
      </c>
      <c r="G6" s="1"/>
      <c r="H6" s="1"/>
      <c r="I6" s="1"/>
      <c r="J6" s="67">
        <f t="shared" si="1"/>
        <v>0</v>
      </c>
    </row>
    <row r="7" spans="1:10" x14ac:dyDescent="0.35">
      <c r="A7" s="3" t="s">
        <v>234</v>
      </c>
      <c r="B7" s="3" t="s">
        <v>231</v>
      </c>
      <c r="C7" s="1"/>
      <c r="D7" s="1"/>
      <c r="E7" s="1"/>
      <c r="F7" s="66">
        <f t="shared" si="0"/>
        <v>0</v>
      </c>
      <c r="G7" s="1"/>
      <c r="H7" s="1"/>
      <c r="I7" s="1"/>
      <c r="J7" s="67">
        <f t="shared" si="1"/>
        <v>0</v>
      </c>
    </row>
    <row r="8" spans="1:10" x14ac:dyDescent="0.35">
      <c r="A8" s="3" t="s">
        <v>236</v>
      </c>
      <c r="B8" s="3" t="s">
        <v>231</v>
      </c>
      <c r="C8" s="1"/>
      <c r="D8" s="1"/>
      <c r="E8" s="1"/>
      <c r="F8" s="66">
        <f t="shared" si="0"/>
        <v>0</v>
      </c>
      <c r="G8" s="1"/>
      <c r="H8" s="1"/>
      <c r="I8" s="1"/>
      <c r="J8" s="67">
        <f t="shared" si="1"/>
        <v>0</v>
      </c>
    </row>
    <row r="9" spans="1:10" x14ac:dyDescent="0.35">
      <c r="A9" s="106" t="s">
        <v>235</v>
      </c>
      <c r="B9" s="3" t="s">
        <v>231</v>
      </c>
      <c r="C9" s="1"/>
      <c r="D9" s="1"/>
      <c r="E9" s="1"/>
      <c r="F9" s="66">
        <f t="shared" si="0"/>
        <v>0</v>
      </c>
      <c r="G9" s="1"/>
      <c r="H9" s="1"/>
      <c r="I9" s="1"/>
      <c r="J9" s="67">
        <f t="shared" si="1"/>
        <v>0</v>
      </c>
    </row>
    <row r="10" spans="1:10" x14ac:dyDescent="0.35">
      <c r="A10" s="106" t="s">
        <v>235</v>
      </c>
      <c r="B10" s="3" t="s">
        <v>231</v>
      </c>
      <c r="C10" s="1"/>
      <c r="D10" s="1"/>
      <c r="E10" s="1"/>
      <c r="F10" s="66">
        <f t="shared" si="0"/>
        <v>0</v>
      </c>
      <c r="G10" s="1"/>
      <c r="H10" s="1"/>
      <c r="I10" s="1"/>
      <c r="J10" s="67">
        <f t="shared" si="1"/>
        <v>0</v>
      </c>
    </row>
    <row r="11" spans="1:10" s="64" customFormat="1" ht="22.25" customHeight="1" x14ac:dyDescent="0.35">
      <c r="A11" s="40" t="s">
        <v>157</v>
      </c>
      <c r="B11" s="40"/>
      <c r="C11" s="68">
        <f>IFERROR(AVERAGE(C4:C10),0)</f>
        <v>0</v>
      </c>
      <c r="D11" s="68">
        <f t="shared" ref="D11:E11" si="2">IFERROR(AVERAGE(D4:D10),0)</f>
        <v>0</v>
      </c>
      <c r="E11" s="68">
        <f t="shared" si="2"/>
        <v>0</v>
      </c>
      <c r="F11" s="68">
        <f t="shared" ref="C11:J11" si="3">AVERAGE(F4:F10)</f>
        <v>0</v>
      </c>
      <c r="G11" s="68">
        <f>IFERROR(AVERAGE(G4:G10),0)</f>
        <v>0</v>
      </c>
      <c r="H11" s="68">
        <f t="shared" ref="H11:I11" si="4">IFERROR(AVERAGE(H4:H10),0)</f>
        <v>0</v>
      </c>
      <c r="I11" s="68">
        <f t="shared" si="4"/>
        <v>0</v>
      </c>
      <c r="J11" s="68">
        <f t="shared" si="3"/>
        <v>0</v>
      </c>
    </row>
    <row r="18" ht="14.4" customHeight="1" x14ac:dyDescent="0.35"/>
  </sheetData>
  <mergeCells count="6">
    <mergeCell ref="A2:A3"/>
    <mergeCell ref="C2:E2"/>
    <mergeCell ref="G2:I2"/>
    <mergeCell ref="F2:F3"/>
    <mergeCell ref="J2:J3"/>
    <mergeCell ref="B2:B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3C77-CFD9-4720-BA10-313747010C84}">
  <dimension ref="A2:B6"/>
  <sheetViews>
    <sheetView tabSelected="1" workbookViewId="0">
      <selection activeCell="F12" sqref="F12"/>
    </sheetView>
  </sheetViews>
  <sheetFormatPr defaultRowHeight="14.5" x14ac:dyDescent="0.35"/>
  <sheetData>
    <row r="2" spans="1:2" x14ac:dyDescent="0.35">
      <c r="A2" t="s">
        <v>237</v>
      </c>
      <c r="B2" t="s">
        <v>239</v>
      </c>
    </row>
    <row r="4" spans="1:2" x14ac:dyDescent="0.35">
      <c r="A4" t="s">
        <v>238</v>
      </c>
      <c r="B4" t="s">
        <v>240</v>
      </c>
    </row>
    <row r="6" spans="1:2" x14ac:dyDescent="0.35">
      <c r="A6" t="s">
        <v>241</v>
      </c>
      <c r="B6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5"/>
  <sheetViews>
    <sheetView showGridLines="0" zoomScale="85" zoomScaleNormal="85" workbookViewId="0">
      <selection activeCell="B2" sqref="B2"/>
    </sheetView>
  </sheetViews>
  <sheetFormatPr defaultRowHeight="14.5" x14ac:dyDescent="0.35"/>
  <cols>
    <col min="1" max="1" width="11.36328125" customWidth="1"/>
    <col min="2" max="2" width="13.54296875" bestFit="1" customWidth="1"/>
    <col min="3" max="3" width="10.1796875" customWidth="1"/>
    <col min="4" max="4" width="10.453125" bestFit="1" customWidth="1"/>
    <col min="5" max="5" width="11.81640625" customWidth="1"/>
    <col min="6" max="6" width="13.08984375" customWidth="1"/>
    <col min="7" max="7" width="11.54296875" bestFit="1" customWidth="1"/>
    <col min="8" max="8" width="16.36328125" customWidth="1"/>
    <col min="9" max="9" width="93.08984375" bestFit="1" customWidth="1"/>
  </cols>
  <sheetData>
    <row r="1" spans="1:9" x14ac:dyDescent="0.35">
      <c r="A1" t="s">
        <v>166</v>
      </c>
    </row>
    <row r="2" spans="1:9" ht="15.65" customHeight="1" x14ac:dyDescent="0.35">
      <c r="A2" t="s">
        <v>167</v>
      </c>
    </row>
    <row r="3" spans="1:9" x14ac:dyDescent="0.35">
      <c r="A3" t="s">
        <v>168</v>
      </c>
    </row>
    <row r="4" spans="1:9" x14ac:dyDescent="0.35">
      <c r="A4" t="s">
        <v>169</v>
      </c>
    </row>
    <row r="8" spans="1:9" x14ac:dyDescent="0.35">
      <c r="A8" t="s">
        <v>170</v>
      </c>
    </row>
    <row r="9" spans="1:9" s="56" customFormat="1" ht="28.25" customHeight="1" x14ac:dyDescent="0.35">
      <c r="A9" s="79" t="s">
        <v>212</v>
      </c>
      <c r="B9" s="80" t="s">
        <v>213</v>
      </c>
      <c r="C9" s="80" t="s">
        <v>173</v>
      </c>
      <c r="D9" s="81" t="s">
        <v>220</v>
      </c>
      <c r="E9" s="81" t="s">
        <v>221</v>
      </c>
      <c r="F9" s="80" t="s">
        <v>174</v>
      </c>
      <c r="G9" s="80" t="s">
        <v>175</v>
      </c>
      <c r="H9" s="80" t="s">
        <v>219</v>
      </c>
      <c r="I9" s="80" t="s">
        <v>177</v>
      </c>
    </row>
    <row r="10" spans="1:9" x14ac:dyDescent="0.35">
      <c r="A10" s="77">
        <v>45140</v>
      </c>
      <c r="B10" s="2" t="s">
        <v>215</v>
      </c>
      <c r="C10" s="2" t="s">
        <v>180</v>
      </c>
      <c r="D10" s="78">
        <v>0.71243000000000001</v>
      </c>
      <c r="E10" s="78">
        <v>116.69862000000001</v>
      </c>
      <c r="F10" s="2" t="s">
        <v>181</v>
      </c>
      <c r="G10" s="2" t="s">
        <v>182</v>
      </c>
      <c r="H10" s="2" t="s">
        <v>183</v>
      </c>
      <c r="I10" s="2" t="s">
        <v>214</v>
      </c>
    </row>
    <row r="11" spans="1:9" x14ac:dyDescent="0.35">
      <c r="A11" s="77">
        <v>45144</v>
      </c>
      <c r="B11" s="2" t="s">
        <v>216</v>
      </c>
      <c r="C11" s="2" t="s">
        <v>187</v>
      </c>
      <c r="D11" s="78">
        <v>1.0669999999999999</v>
      </c>
      <c r="E11" s="78">
        <v>116.849</v>
      </c>
      <c r="F11" s="2" t="s">
        <v>181</v>
      </c>
      <c r="G11" s="2" t="s">
        <v>188</v>
      </c>
      <c r="H11" s="2" t="s">
        <v>189</v>
      </c>
      <c r="I11" s="2" t="s">
        <v>190</v>
      </c>
    </row>
    <row r="12" spans="1:9" ht="15.65" customHeight="1" x14ac:dyDescent="0.35">
      <c r="A12" s="77">
        <v>45144</v>
      </c>
      <c r="B12" s="2" t="s">
        <v>216</v>
      </c>
      <c r="C12" s="2" t="s">
        <v>187</v>
      </c>
      <c r="D12" s="78">
        <v>0.61666699999999997</v>
      </c>
      <c r="E12" s="78">
        <v>116.78100000000001</v>
      </c>
      <c r="F12" s="2" t="s">
        <v>191</v>
      </c>
      <c r="G12" s="2" t="s">
        <v>182</v>
      </c>
      <c r="H12" s="2" t="s">
        <v>183</v>
      </c>
      <c r="I12" s="2" t="s">
        <v>192</v>
      </c>
    </row>
    <row r="13" spans="1:9" x14ac:dyDescent="0.35">
      <c r="A13" s="77">
        <v>45162</v>
      </c>
      <c r="B13" s="2" t="s">
        <v>216</v>
      </c>
      <c r="C13" s="2" t="s">
        <v>187</v>
      </c>
      <c r="D13" s="78">
        <v>0.48958299999999999</v>
      </c>
      <c r="E13" s="78">
        <v>116.654</v>
      </c>
      <c r="F13" s="2" t="s">
        <v>181</v>
      </c>
      <c r="G13" s="2" t="s">
        <v>188</v>
      </c>
      <c r="H13" s="2" t="s">
        <v>189</v>
      </c>
      <c r="I13" s="2" t="s">
        <v>217</v>
      </c>
    </row>
    <row r="14" spans="1:9" x14ac:dyDescent="0.35">
      <c r="A14" s="77">
        <v>45168</v>
      </c>
      <c r="B14" s="2" t="s">
        <v>215</v>
      </c>
      <c r="C14" s="2" t="s">
        <v>187</v>
      </c>
      <c r="D14" s="78">
        <v>0.70699999999999996</v>
      </c>
      <c r="E14" s="78">
        <v>116.705</v>
      </c>
      <c r="F14" s="2" t="s">
        <v>181</v>
      </c>
      <c r="G14" s="2" t="s">
        <v>182</v>
      </c>
      <c r="H14" s="2" t="s">
        <v>183</v>
      </c>
      <c r="I14" s="2" t="s">
        <v>196</v>
      </c>
    </row>
    <row r="15" spans="1:9" x14ac:dyDescent="0.35">
      <c r="A15" s="77">
        <v>45168</v>
      </c>
      <c r="B15" s="2" t="s">
        <v>218</v>
      </c>
      <c r="C15" s="2" t="s">
        <v>187</v>
      </c>
      <c r="D15" s="78">
        <v>0.63800000000000001</v>
      </c>
      <c r="E15" s="78">
        <v>116.727</v>
      </c>
      <c r="F15" s="2" t="s">
        <v>181</v>
      </c>
      <c r="G15" s="2" t="s">
        <v>188</v>
      </c>
      <c r="H15" s="2" t="s">
        <v>189</v>
      </c>
      <c r="I15" s="2" t="s">
        <v>197</v>
      </c>
    </row>
    <row r="16" spans="1:9" x14ac:dyDescent="0.35">
      <c r="A16" s="77">
        <v>45168</v>
      </c>
      <c r="B16" s="2" t="s">
        <v>218</v>
      </c>
      <c r="C16" s="2" t="s">
        <v>180</v>
      </c>
      <c r="D16" s="78">
        <v>0.64783000000000002</v>
      </c>
      <c r="E16" s="78">
        <v>116.73425</v>
      </c>
      <c r="F16" s="2" t="s">
        <v>191</v>
      </c>
      <c r="G16" s="2" t="s">
        <v>182</v>
      </c>
      <c r="H16" s="2" t="s">
        <v>183</v>
      </c>
      <c r="I16" s="2" t="s">
        <v>198</v>
      </c>
    </row>
    <row r="17" spans="1:9" x14ac:dyDescent="0.35">
      <c r="A17" s="77">
        <v>45168</v>
      </c>
      <c r="B17" s="2" t="s">
        <v>215</v>
      </c>
      <c r="C17" s="2" t="s">
        <v>187</v>
      </c>
      <c r="D17" s="78">
        <v>0.71099999999999997</v>
      </c>
      <c r="E17" s="78">
        <v>116.70399999999999</v>
      </c>
      <c r="F17" s="2" t="s">
        <v>181</v>
      </c>
      <c r="G17" s="2" t="s">
        <v>188</v>
      </c>
      <c r="H17" s="2" t="s">
        <v>189</v>
      </c>
      <c r="I17" s="2" t="s">
        <v>202</v>
      </c>
    </row>
    <row r="18" spans="1:9" x14ac:dyDescent="0.35">
      <c r="A18" s="77">
        <v>45168</v>
      </c>
      <c r="B18" s="2" t="s">
        <v>216</v>
      </c>
      <c r="C18" s="2" t="s">
        <v>187</v>
      </c>
      <c r="D18" s="78">
        <v>0.49583300000000002</v>
      </c>
      <c r="E18" s="78">
        <v>116.679</v>
      </c>
      <c r="F18" s="2" t="s">
        <v>181</v>
      </c>
      <c r="G18" s="2" t="s">
        <v>182</v>
      </c>
      <c r="H18" s="2" t="s">
        <v>189</v>
      </c>
      <c r="I18" s="2" t="s">
        <v>205</v>
      </c>
    </row>
    <row r="19" spans="1:9" x14ac:dyDescent="0.35">
      <c r="A19" s="77">
        <v>45170</v>
      </c>
      <c r="B19" s="2" t="s">
        <v>216</v>
      </c>
      <c r="C19" s="2" t="s">
        <v>187</v>
      </c>
      <c r="D19" s="78">
        <v>0.57291700000000001</v>
      </c>
      <c r="E19" s="78">
        <v>116.768</v>
      </c>
      <c r="F19" s="2" t="s">
        <v>181</v>
      </c>
      <c r="G19" s="2" t="s">
        <v>188</v>
      </c>
      <c r="H19" s="2" t="s">
        <v>189</v>
      </c>
      <c r="I19" s="2" t="s">
        <v>206</v>
      </c>
    </row>
    <row r="22" spans="1:9" x14ac:dyDescent="0.35">
      <c r="B22" s="89" t="s">
        <v>213</v>
      </c>
      <c r="C22" s="88" t="s">
        <v>223</v>
      </c>
      <c r="D22" s="88"/>
      <c r="E22" s="87" t="s">
        <v>222</v>
      </c>
      <c r="F22" s="87" t="s">
        <v>226</v>
      </c>
      <c r="H22" t="str">
        <f>UPPER(B22)</f>
        <v>DESA</v>
      </c>
    </row>
    <row r="23" spans="1:9" x14ac:dyDescent="0.35">
      <c r="B23" s="89"/>
      <c r="C23" s="82" t="s">
        <v>224</v>
      </c>
      <c r="D23" s="82" t="s">
        <v>225</v>
      </c>
      <c r="E23" s="87"/>
      <c r="F23" s="87"/>
    </row>
    <row r="24" spans="1:9" x14ac:dyDescent="0.35">
      <c r="B24" s="3" t="s">
        <v>215</v>
      </c>
      <c r="C24" s="1">
        <f>COUNTIFS($B$10:$B$19,B24,$C$10:$C$19,$C$23)</f>
        <v>1</v>
      </c>
      <c r="D24" s="1">
        <f>COUNTIFS($B$10:$B$19,B24,$C$10:$C$19,$D$23)</f>
        <v>2</v>
      </c>
      <c r="E24" s="1">
        <f>SUM(C24:D24)</f>
        <v>3</v>
      </c>
      <c r="F24" s="3" t="s">
        <v>28</v>
      </c>
    </row>
    <row r="25" spans="1:9" x14ac:dyDescent="0.35">
      <c r="B25" s="3" t="s">
        <v>216</v>
      </c>
      <c r="C25" s="1">
        <f>COUNTIFS($B$10:$B$19,B25,$C$10:$C$19,$C$23)</f>
        <v>0</v>
      </c>
      <c r="D25" s="1">
        <f>COUNTIFS($B$10:$B$19,B25,$C$10:$C$19,$D$23)</f>
        <v>5</v>
      </c>
      <c r="E25" s="1">
        <f t="shared" ref="E25:E27" si="0">SUM(C25:D25)</f>
        <v>5</v>
      </c>
      <c r="F25" s="3" t="s">
        <v>28</v>
      </c>
    </row>
    <row r="26" spans="1:9" ht="15" customHeight="1" x14ac:dyDescent="0.35">
      <c r="B26" s="3" t="s">
        <v>218</v>
      </c>
      <c r="C26" s="1">
        <f>COUNTIFS($B$10:$B$19,B26,$C$10:$C$19,$C$23)</f>
        <v>1</v>
      </c>
      <c r="D26" s="1">
        <f>COUNTIFS($B$10:$B$19,B26,$C$10:$C$19,$D$23)</f>
        <v>1</v>
      </c>
      <c r="E26" s="1">
        <f t="shared" si="0"/>
        <v>2</v>
      </c>
      <c r="F26" s="3" t="s">
        <v>28</v>
      </c>
    </row>
    <row r="27" spans="1:9" x14ac:dyDescent="0.35">
      <c r="B27" s="3" t="s">
        <v>227</v>
      </c>
      <c r="C27" s="1">
        <f>COUNTIFS($B$10:$B$19,B27,$C$10:$C$19,$C$23)</f>
        <v>0</v>
      </c>
      <c r="D27" s="1">
        <f>COUNTIFS($B$10:$B$19,B27,$C$10:$C$19,$D$23)</f>
        <v>0</v>
      </c>
      <c r="E27" s="1">
        <f t="shared" si="0"/>
        <v>0</v>
      </c>
      <c r="F27" s="3" t="s">
        <v>28</v>
      </c>
    </row>
    <row r="28" spans="1:9" x14ac:dyDescent="0.35">
      <c r="B28" s="82" t="s">
        <v>4</v>
      </c>
      <c r="C28" s="79">
        <f>SUM(C24:C27)</f>
        <v>2</v>
      </c>
      <c r="D28" s="79">
        <f>SUM(D24:D27)</f>
        <v>8</v>
      </c>
      <c r="E28" s="79">
        <f>SUM(E24:E27)</f>
        <v>10</v>
      </c>
      <c r="F28" s="82"/>
    </row>
    <row r="35" ht="14.4" customHeight="1" x14ac:dyDescent="0.35"/>
    <row r="36" ht="15" customHeight="1" x14ac:dyDescent="0.35"/>
    <row r="46" ht="14.4" customHeight="1" x14ac:dyDescent="0.35"/>
    <row r="47" ht="15" customHeight="1" x14ac:dyDescent="0.35"/>
    <row r="57" ht="14.4" customHeight="1" x14ac:dyDescent="0.35"/>
    <row r="58" ht="15" customHeight="1" x14ac:dyDescent="0.35"/>
    <row r="68" ht="14.4" customHeight="1" x14ac:dyDescent="0.35"/>
    <row r="69" ht="15" customHeight="1" x14ac:dyDescent="0.35"/>
    <row r="79" ht="14.4" customHeight="1" x14ac:dyDescent="0.35"/>
    <row r="80" ht="15" customHeight="1" x14ac:dyDescent="0.35"/>
    <row r="91" ht="14.4" customHeight="1" x14ac:dyDescent="0.35"/>
    <row r="92" ht="15" customHeight="1" x14ac:dyDescent="0.35"/>
    <row r="102" ht="14.4" customHeight="1" x14ac:dyDescent="0.35"/>
    <row r="103" ht="15" customHeight="1" x14ac:dyDescent="0.35"/>
    <row r="114" ht="14.4" customHeight="1" x14ac:dyDescent="0.35"/>
    <row r="115" ht="15" customHeight="1" x14ac:dyDescent="0.35"/>
  </sheetData>
  <mergeCells count="4">
    <mergeCell ref="E22:E23"/>
    <mergeCell ref="C22:D22"/>
    <mergeCell ref="B22:B23"/>
    <mergeCell ref="F22:F2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1:P12"/>
  <sheetViews>
    <sheetView topLeftCell="C1" zoomScale="85" zoomScaleNormal="85" workbookViewId="0">
      <selection activeCell="C1" sqref="A1:XFD1048576"/>
    </sheetView>
  </sheetViews>
  <sheetFormatPr defaultColWidth="9.1796875" defaultRowHeight="15" x14ac:dyDescent="0.4"/>
  <cols>
    <col min="1" max="4" width="9.1796875" style="8"/>
    <col min="5" max="5" width="4" style="5" customWidth="1"/>
    <col min="6" max="6" width="14.81640625" style="7" customWidth="1"/>
    <col min="7" max="7" width="22.54296875" style="7" customWidth="1"/>
    <col min="8" max="8" width="9" style="7" bestFit="1" customWidth="1"/>
    <col min="9" max="9" width="16.81640625" style="7" customWidth="1"/>
    <col min="10" max="10" width="37.1796875" style="7" bestFit="1" customWidth="1"/>
    <col min="11" max="11" width="33.453125" style="7" bestFit="1" customWidth="1"/>
    <col min="12" max="12" width="14.453125" style="8" bestFit="1" customWidth="1"/>
    <col min="13" max="13" width="8.90625" style="8" customWidth="1"/>
    <col min="14" max="14" width="10" style="8" bestFit="1" customWidth="1"/>
    <col min="15" max="15" width="10" style="8" customWidth="1"/>
    <col min="16" max="16384" width="9.1796875" style="8"/>
  </cols>
  <sheetData>
    <row r="1" spans="5:16" ht="18" customHeight="1" x14ac:dyDescent="0.4">
      <c r="F1" s="6" t="s">
        <v>7</v>
      </c>
    </row>
    <row r="4" spans="5:16" s="11" customFormat="1" ht="16" x14ac:dyDescent="0.35"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10" t="s">
        <v>15</v>
      </c>
      <c r="M4" s="10" t="s">
        <v>16</v>
      </c>
      <c r="N4" s="10" t="s">
        <v>17</v>
      </c>
    </row>
    <row r="5" spans="5:16" ht="89.4" customHeight="1" x14ac:dyDescent="0.4">
      <c r="E5" s="15">
        <v>1</v>
      </c>
      <c r="F5" s="90" t="s">
        <v>28</v>
      </c>
      <c r="G5" s="12"/>
      <c r="H5" s="15" t="s">
        <v>29</v>
      </c>
      <c r="I5" s="15" t="s">
        <v>30</v>
      </c>
      <c r="J5" s="15" t="s">
        <v>33</v>
      </c>
      <c r="K5" s="15" t="s">
        <v>34</v>
      </c>
      <c r="L5" s="16" t="s">
        <v>21</v>
      </c>
      <c r="M5" s="16" t="s">
        <v>25</v>
      </c>
      <c r="N5" s="14" t="s">
        <v>22</v>
      </c>
    </row>
    <row r="6" spans="5:16" ht="93" customHeight="1" x14ac:dyDescent="0.4">
      <c r="E6" s="15">
        <v>2</v>
      </c>
      <c r="F6" s="90"/>
      <c r="G6" s="12"/>
      <c r="H6" s="15" t="s">
        <v>18</v>
      </c>
      <c r="I6" s="15" t="s">
        <v>31</v>
      </c>
      <c r="J6" s="15" t="s">
        <v>46</v>
      </c>
      <c r="K6" s="26" t="s">
        <v>45</v>
      </c>
      <c r="L6" s="16" t="s">
        <v>19</v>
      </c>
      <c r="M6" s="16" t="s">
        <v>26</v>
      </c>
      <c r="N6" s="14" t="s">
        <v>22</v>
      </c>
    </row>
    <row r="7" spans="5:16" ht="103.75" customHeight="1" x14ac:dyDescent="0.4">
      <c r="E7" s="17">
        <v>3</v>
      </c>
      <c r="F7" s="90"/>
      <c r="G7" s="13"/>
      <c r="H7" s="15" t="s">
        <v>56</v>
      </c>
      <c r="I7" s="15" t="s">
        <v>32</v>
      </c>
      <c r="J7" s="27" t="s">
        <v>52</v>
      </c>
      <c r="K7" s="28" t="s">
        <v>51</v>
      </c>
      <c r="L7" s="16" t="s">
        <v>19</v>
      </c>
      <c r="M7" s="16" t="s">
        <v>27</v>
      </c>
      <c r="N7" s="14" t="s">
        <v>22</v>
      </c>
    </row>
    <row r="11" spans="5:16" x14ac:dyDescent="0.4">
      <c r="G11" s="7" t="s">
        <v>23</v>
      </c>
      <c r="P11" s="8">
        <f>32/79</f>
        <v>0.4050632911392405</v>
      </c>
    </row>
    <row r="12" spans="5:16" ht="30" x14ac:dyDescent="0.4">
      <c r="G12" s="7" t="s">
        <v>24</v>
      </c>
      <c r="P12" s="8">
        <f>79*0.2</f>
        <v>15.8</v>
      </c>
    </row>
  </sheetData>
  <mergeCells count="1">
    <mergeCell ref="F5:F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T23"/>
  <sheetViews>
    <sheetView zoomScale="120" zoomScaleNormal="120" workbookViewId="0">
      <selection activeCell="M13" sqref="M13"/>
    </sheetView>
  </sheetViews>
  <sheetFormatPr defaultRowHeight="14.5" x14ac:dyDescent="0.35"/>
  <cols>
    <col min="2" max="2" width="3.1796875" customWidth="1"/>
    <col min="3" max="3" width="4.90625" customWidth="1"/>
  </cols>
  <sheetData>
    <row r="2" spans="1:20" x14ac:dyDescent="0.35">
      <c r="B2" t="s">
        <v>5</v>
      </c>
    </row>
    <row r="3" spans="1:20" x14ac:dyDescent="0.35">
      <c r="A3" t="s">
        <v>20</v>
      </c>
      <c r="B3">
        <v>1</v>
      </c>
      <c r="C3" t="s">
        <v>42</v>
      </c>
    </row>
    <row r="4" spans="1:20" x14ac:dyDescent="0.35">
      <c r="D4" t="s">
        <v>41</v>
      </c>
    </row>
    <row r="5" spans="1:20" x14ac:dyDescent="0.35">
      <c r="E5" t="s">
        <v>43</v>
      </c>
    </row>
    <row r="6" spans="1:20" x14ac:dyDescent="0.35">
      <c r="F6" s="4" t="s">
        <v>44</v>
      </c>
      <c r="G6" s="4"/>
      <c r="H6" s="4"/>
      <c r="I6" s="4"/>
      <c r="J6" s="4"/>
    </row>
    <row r="7" spans="1:20" x14ac:dyDescent="0.35">
      <c r="F7" s="4" t="s">
        <v>6</v>
      </c>
      <c r="G7" s="4"/>
      <c r="H7" s="4"/>
      <c r="I7" s="4"/>
      <c r="J7" s="4"/>
      <c r="P7" s="4"/>
      <c r="Q7" s="4"/>
      <c r="R7" s="4"/>
      <c r="S7" s="4"/>
      <c r="T7" s="4"/>
    </row>
    <row r="8" spans="1:20" x14ac:dyDescent="0.35">
      <c r="P8" s="4"/>
      <c r="Q8" s="4"/>
      <c r="R8" s="4"/>
      <c r="S8" s="4"/>
      <c r="T8" s="4"/>
    </row>
    <row r="10" spans="1:20" x14ac:dyDescent="0.35">
      <c r="A10" t="s">
        <v>57</v>
      </c>
      <c r="B10">
        <v>2</v>
      </c>
      <c r="C10" s="25" t="s">
        <v>60</v>
      </c>
      <c r="M10" s="25"/>
    </row>
    <row r="11" spans="1:20" x14ac:dyDescent="0.35">
      <c r="D11" t="s">
        <v>47</v>
      </c>
    </row>
    <row r="12" spans="1:20" x14ac:dyDescent="0.35">
      <c r="E12" t="s">
        <v>48</v>
      </c>
    </row>
    <row r="13" spans="1:20" x14ac:dyDescent="0.35">
      <c r="F13" s="4" t="s">
        <v>49</v>
      </c>
      <c r="P13" s="4"/>
      <c r="Q13" s="4"/>
      <c r="R13" s="4"/>
      <c r="S13" s="4"/>
    </row>
    <row r="14" spans="1:20" x14ac:dyDescent="0.35">
      <c r="E14" s="4" t="s">
        <v>50</v>
      </c>
    </row>
    <row r="19" spans="1:15" x14ac:dyDescent="0.35">
      <c r="A19" t="s">
        <v>58</v>
      </c>
      <c r="B19">
        <v>3</v>
      </c>
      <c r="C19" t="s">
        <v>51</v>
      </c>
      <c r="K19" s="4"/>
    </row>
    <row r="20" spans="1:15" x14ac:dyDescent="0.35">
      <c r="D20" t="s">
        <v>59</v>
      </c>
    </row>
    <row r="21" spans="1:15" x14ac:dyDescent="0.35">
      <c r="E21" t="s">
        <v>53</v>
      </c>
      <c r="O21" s="4"/>
    </row>
    <row r="22" spans="1:15" x14ac:dyDescent="0.35">
      <c r="F22" t="s">
        <v>54</v>
      </c>
    </row>
    <row r="23" spans="1:15" x14ac:dyDescent="0.35">
      <c r="G23" s="4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E5"/>
  <sheetViews>
    <sheetView workbookViewId="0">
      <selection activeCell="I13" sqref="I13"/>
    </sheetView>
  </sheetViews>
  <sheetFormatPr defaultRowHeight="14.5" x14ac:dyDescent="0.35"/>
  <cols>
    <col min="1" max="1" width="9.54296875" customWidth="1"/>
    <col min="2" max="2" width="11.08984375" customWidth="1"/>
    <col min="3" max="3" width="11.6328125" customWidth="1"/>
    <col min="4" max="4" width="10.90625" customWidth="1"/>
  </cols>
  <sheetData>
    <row r="3" spans="1:5" x14ac:dyDescent="0.35">
      <c r="A3" s="23" t="s">
        <v>35</v>
      </c>
      <c r="B3" s="24"/>
      <c r="C3" s="21" t="s">
        <v>39</v>
      </c>
      <c r="D3" s="22"/>
      <c r="E3" s="91" t="s">
        <v>40</v>
      </c>
    </row>
    <row r="4" spans="1:5" x14ac:dyDescent="0.35">
      <c r="A4" s="18" t="s">
        <v>36</v>
      </c>
      <c r="B4" s="18" t="s">
        <v>37</v>
      </c>
      <c r="C4" s="18" t="s">
        <v>38</v>
      </c>
      <c r="D4" s="18" t="s">
        <v>37</v>
      </c>
      <c r="E4" s="92"/>
    </row>
    <row r="5" spans="1:5" ht="23.4" customHeight="1" x14ac:dyDescent="0.35">
      <c r="A5" s="19">
        <v>20</v>
      </c>
      <c r="B5" s="19" t="s">
        <v>1</v>
      </c>
      <c r="C5" s="19">
        <v>25</v>
      </c>
      <c r="D5" s="19" t="s">
        <v>1</v>
      </c>
      <c r="E5" s="20">
        <f>(C5-A5)/A5</f>
        <v>0.25</v>
      </c>
    </row>
  </sheetData>
  <mergeCells count="1">
    <mergeCell ref="E3:E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7"/>
  <sheetViews>
    <sheetView workbookViewId="0">
      <selection activeCell="E22" sqref="E22"/>
    </sheetView>
  </sheetViews>
  <sheetFormatPr defaultRowHeight="14.5" x14ac:dyDescent="0.35"/>
  <cols>
    <col min="1" max="1" width="29.1796875" style="35" customWidth="1"/>
    <col min="2" max="2" width="20.08984375" style="35" customWidth="1"/>
    <col min="3" max="3" width="22.90625" style="35" customWidth="1"/>
    <col min="4" max="4" width="9.1796875" style="35" bestFit="1" customWidth="1"/>
  </cols>
  <sheetData>
    <row r="2" spans="1:4" x14ac:dyDescent="0.35">
      <c r="A2" s="31" t="s">
        <v>61</v>
      </c>
      <c r="B2" s="31" t="s">
        <v>62</v>
      </c>
      <c r="C2" s="31" t="s">
        <v>63</v>
      </c>
      <c r="D2" s="31" t="s">
        <v>64</v>
      </c>
    </row>
    <row r="3" spans="1:4" ht="29" x14ac:dyDescent="0.35">
      <c r="A3" s="33" t="s">
        <v>65</v>
      </c>
      <c r="B3" s="93" t="s">
        <v>70</v>
      </c>
      <c r="C3" s="93" t="s">
        <v>73</v>
      </c>
      <c r="D3" s="30" t="s">
        <v>22</v>
      </c>
    </row>
    <row r="4" spans="1:4" ht="29" x14ac:dyDescent="0.35">
      <c r="A4" s="33" t="s">
        <v>66</v>
      </c>
      <c r="B4" s="93"/>
      <c r="C4" s="93"/>
      <c r="D4" s="30" t="s">
        <v>22</v>
      </c>
    </row>
    <row r="5" spans="1:4" ht="29" x14ac:dyDescent="0.35">
      <c r="A5" s="33" t="s">
        <v>67</v>
      </c>
      <c r="B5" s="93" t="s">
        <v>71</v>
      </c>
      <c r="C5" s="94" t="s">
        <v>60</v>
      </c>
      <c r="D5" s="30" t="s">
        <v>22</v>
      </c>
    </row>
    <row r="6" spans="1:4" ht="29" x14ac:dyDescent="0.35">
      <c r="A6" s="33" t="s">
        <v>68</v>
      </c>
      <c r="B6" s="93"/>
      <c r="C6" s="94"/>
      <c r="D6" s="30" t="s">
        <v>22</v>
      </c>
    </row>
    <row r="7" spans="1:4" ht="43.5" x14ac:dyDescent="0.35">
      <c r="A7" s="33" t="s">
        <v>69</v>
      </c>
      <c r="B7" s="34" t="s">
        <v>72</v>
      </c>
      <c r="C7" s="32" t="s">
        <v>74</v>
      </c>
      <c r="D7" s="30" t="s">
        <v>22</v>
      </c>
    </row>
  </sheetData>
  <mergeCells count="4">
    <mergeCell ref="B3:B4"/>
    <mergeCell ref="B5:B6"/>
    <mergeCell ref="C3:C4"/>
    <mergeCell ref="C5:C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19"/>
  <sheetViews>
    <sheetView showGridLines="0" zoomScaleNormal="100" workbookViewId="0">
      <selection activeCell="E11" activeCellId="4" sqref="E4 E5 E8 E10 E11"/>
    </sheetView>
  </sheetViews>
  <sheetFormatPr defaultRowHeight="14.5" x14ac:dyDescent="0.35"/>
  <cols>
    <col min="1" max="1" width="3.6328125" bestFit="1" customWidth="1"/>
    <col min="2" max="2" width="33.453125" customWidth="1"/>
    <col min="3" max="3" width="29.08984375" bestFit="1" customWidth="1"/>
    <col min="4" max="4" width="43.6328125" customWidth="1"/>
    <col min="5" max="5" width="7.453125" bestFit="1" customWidth="1"/>
    <col min="6" max="6" width="16.08984375" bestFit="1" customWidth="1"/>
    <col min="7" max="7" width="12.36328125" bestFit="1" customWidth="1"/>
    <col min="8" max="8" width="11.453125" bestFit="1" customWidth="1"/>
    <col min="11" max="11" width="3.54296875" bestFit="1" customWidth="1"/>
    <col min="12" max="12" width="5.54296875" bestFit="1" customWidth="1"/>
    <col min="13" max="14" width="10.81640625" customWidth="1"/>
    <col min="15" max="15" width="3.453125" customWidth="1"/>
    <col min="16" max="16" width="3.54296875" bestFit="1" customWidth="1"/>
  </cols>
  <sheetData>
    <row r="2" spans="1:19" ht="21" customHeight="1" x14ac:dyDescent="0.35">
      <c r="A2" s="52" t="s">
        <v>0</v>
      </c>
      <c r="B2" s="52" t="s">
        <v>61</v>
      </c>
      <c r="C2" s="52" t="s">
        <v>75</v>
      </c>
      <c r="D2" s="52" t="s">
        <v>76</v>
      </c>
      <c r="E2" s="52" t="s">
        <v>77</v>
      </c>
      <c r="F2" s="52" t="s">
        <v>78</v>
      </c>
      <c r="G2" s="52" t="s">
        <v>79</v>
      </c>
      <c r="H2" s="52" t="s">
        <v>80</v>
      </c>
    </row>
    <row r="3" spans="1:19" x14ac:dyDescent="0.35">
      <c r="A3" s="97">
        <v>1</v>
      </c>
      <c r="B3" s="100" t="s">
        <v>65</v>
      </c>
      <c r="C3" s="36" t="s">
        <v>85</v>
      </c>
      <c r="D3" s="36" t="s">
        <v>88</v>
      </c>
      <c r="E3" s="19" t="s">
        <v>89</v>
      </c>
      <c r="F3" s="54">
        <v>100000</v>
      </c>
      <c r="G3" s="19" t="s">
        <v>113</v>
      </c>
      <c r="H3" s="55" t="s">
        <v>90</v>
      </c>
    </row>
    <row r="4" spans="1:19" x14ac:dyDescent="0.35">
      <c r="A4" s="98"/>
      <c r="B4" s="101"/>
      <c r="C4" s="39" t="s">
        <v>86</v>
      </c>
      <c r="D4" s="39" t="s">
        <v>88</v>
      </c>
      <c r="E4" s="40" t="s">
        <v>89</v>
      </c>
      <c r="F4" s="53">
        <v>5000</v>
      </c>
      <c r="G4" s="40" t="s">
        <v>114</v>
      </c>
      <c r="H4" s="29" t="s">
        <v>91</v>
      </c>
    </row>
    <row r="5" spans="1:19" x14ac:dyDescent="0.35">
      <c r="A5" s="97">
        <v>2</v>
      </c>
      <c r="B5" s="100" t="s">
        <v>66</v>
      </c>
      <c r="C5" s="39" t="s">
        <v>81</v>
      </c>
      <c r="D5" s="39" t="s">
        <v>92</v>
      </c>
      <c r="E5" s="40" t="s">
        <v>89</v>
      </c>
      <c r="F5" s="53">
        <v>50000</v>
      </c>
      <c r="G5" s="40" t="s">
        <v>114</v>
      </c>
      <c r="H5" s="29" t="s">
        <v>91</v>
      </c>
    </row>
    <row r="6" spans="1:19" ht="29" x14ac:dyDescent="0.35">
      <c r="A6" s="98"/>
      <c r="B6" s="101"/>
      <c r="C6" s="36" t="s">
        <v>82</v>
      </c>
      <c r="D6" s="37" t="s">
        <v>93</v>
      </c>
      <c r="E6" s="19" t="s">
        <v>94</v>
      </c>
      <c r="F6" s="54">
        <v>15000000</v>
      </c>
      <c r="G6" s="19" t="s">
        <v>115</v>
      </c>
      <c r="H6" s="55" t="s">
        <v>90</v>
      </c>
    </row>
    <row r="7" spans="1:19" ht="43.5" x14ac:dyDescent="0.35">
      <c r="A7" s="97">
        <v>3</v>
      </c>
      <c r="B7" s="100" t="s">
        <v>67</v>
      </c>
      <c r="C7" s="36" t="s">
        <v>83</v>
      </c>
      <c r="D7" s="37" t="s">
        <v>96</v>
      </c>
      <c r="E7" s="19" t="s">
        <v>116</v>
      </c>
      <c r="F7" s="54">
        <v>10000000</v>
      </c>
      <c r="G7" s="19" t="s">
        <v>115</v>
      </c>
      <c r="H7" s="55" t="s">
        <v>90</v>
      </c>
    </row>
    <row r="8" spans="1:19" ht="43.5" x14ac:dyDescent="0.35">
      <c r="A8" s="98"/>
      <c r="B8" s="101"/>
      <c r="C8" s="39" t="s">
        <v>84</v>
      </c>
      <c r="D8" s="41" t="s">
        <v>95</v>
      </c>
      <c r="E8" s="40" t="s">
        <v>117</v>
      </c>
      <c r="F8" s="53">
        <v>1500000</v>
      </c>
      <c r="G8" s="40" t="s">
        <v>118</v>
      </c>
      <c r="H8" s="29" t="s">
        <v>91</v>
      </c>
    </row>
    <row r="9" spans="1:19" x14ac:dyDescent="0.35">
      <c r="A9" s="97">
        <v>4</v>
      </c>
      <c r="B9" s="100" t="s">
        <v>68</v>
      </c>
      <c r="C9" s="36" t="s">
        <v>85</v>
      </c>
      <c r="D9" s="36" t="s">
        <v>88</v>
      </c>
      <c r="E9" s="19" t="s">
        <v>89</v>
      </c>
      <c r="F9" s="54">
        <v>100000</v>
      </c>
      <c r="G9" s="19" t="s">
        <v>113</v>
      </c>
      <c r="H9" s="55" t="s">
        <v>90</v>
      </c>
    </row>
    <row r="10" spans="1:19" x14ac:dyDescent="0.35">
      <c r="A10" s="98"/>
      <c r="B10" s="101"/>
      <c r="C10" s="39" t="s">
        <v>86</v>
      </c>
      <c r="D10" s="39" t="s">
        <v>88</v>
      </c>
      <c r="E10" s="40" t="s">
        <v>89</v>
      </c>
      <c r="F10" s="53">
        <v>5000</v>
      </c>
      <c r="G10" s="40" t="s">
        <v>114</v>
      </c>
      <c r="H10" s="29" t="s">
        <v>91</v>
      </c>
    </row>
    <row r="11" spans="1:19" x14ac:dyDescent="0.35">
      <c r="A11" s="97">
        <v>5</v>
      </c>
      <c r="B11" s="99" t="s">
        <v>87</v>
      </c>
      <c r="C11" s="39" t="s">
        <v>81</v>
      </c>
      <c r="D11" s="39" t="s">
        <v>92</v>
      </c>
      <c r="E11" s="40" t="s">
        <v>89</v>
      </c>
      <c r="F11" s="53">
        <v>50000</v>
      </c>
      <c r="G11" s="40" t="s">
        <v>114</v>
      </c>
      <c r="H11" s="29" t="s">
        <v>91</v>
      </c>
    </row>
    <row r="12" spans="1:19" ht="29" x14ac:dyDescent="0.35">
      <c r="A12" s="98"/>
      <c r="B12" s="99"/>
      <c r="C12" s="36" t="s">
        <v>82</v>
      </c>
      <c r="D12" s="37" t="s">
        <v>93</v>
      </c>
      <c r="E12" s="19" t="s">
        <v>94</v>
      </c>
      <c r="F12" s="54">
        <v>15000000</v>
      </c>
      <c r="G12" s="19" t="s">
        <v>115</v>
      </c>
      <c r="H12" s="55" t="s">
        <v>90</v>
      </c>
    </row>
    <row r="14" spans="1:19" x14ac:dyDescent="0.35">
      <c r="K14" s="42"/>
      <c r="L14" s="43"/>
      <c r="M14" s="96" t="s">
        <v>78</v>
      </c>
      <c r="N14" s="96"/>
      <c r="P14" s="42"/>
      <c r="Q14" s="43"/>
      <c r="R14" s="96" t="s">
        <v>78</v>
      </c>
      <c r="S14" s="96"/>
    </row>
    <row r="15" spans="1:19" ht="29" x14ac:dyDescent="0.35">
      <c r="C15" s="39" t="s">
        <v>86</v>
      </c>
      <c r="K15" s="44"/>
      <c r="L15" s="45"/>
      <c r="M15" s="47" t="s">
        <v>111</v>
      </c>
      <c r="N15" s="47" t="s">
        <v>112</v>
      </c>
      <c r="P15" s="44"/>
      <c r="Q15" s="45"/>
      <c r="R15" s="47" t="s">
        <v>111</v>
      </c>
      <c r="S15" s="47" t="s">
        <v>112</v>
      </c>
    </row>
    <row r="16" spans="1:19" ht="29" x14ac:dyDescent="0.35">
      <c r="C16" s="39" t="s">
        <v>81</v>
      </c>
      <c r="K16" s="95" t="s">
        <v>97</v>
      </c>
      <c r="L16" s="46" t="s">
        <v>98</v>
      </c>
      <c r="M16" s="50" t="s">
        <v>99</v>
      </c>
      <c r="N16" s="51" t="s">
        <v>100</v>
      </c>
      <c r="P16" s="95" t="s">
        <v>108</v>
      </c>
      <c r="Q16" s="47" t="s">
        <v>110</v>
      </c>
      <c r="R16" s="50" t="s">
        <v>104</v>
      </c>
      <c r="S16" s="51" t="s">
        <v>105</v>
      </c>
    </row>
    <row r="17" spans="3:19" ht="29" x14ac:dyDescent="0.35">
      <c r="C17" s="39" t="s">
        <v>84</v>
      </c>
      <c r="K17" s="95"/>
      <c r="L17" s="46" t="s">
        <v>101</v>
      </c>
      <c r="M17" s="49" t="s">
        <v>102</v>
      </c>
      <c r="N17" s="48" t="s">
        <v>103</v>
      </c>
      <c r="P17" s="95"/>
      <c r="Q17" s="47" t="s">
        <v>109</v>
      </c>
      <c r="R17" s="49" t="s">
        <v>106</v>
      </c>
      <c r="S17" s="48" t="s">
        <v>107</v>
      </c>
    </row>
    <row r="18" spans="3:19" x14ac:dyDescent="0.35">
      <c r="C18" t="s">
        <v>86</v>
      </c>
    </row>
    <row r="19" spans="3:19" x14ac:dyDescent="0.35">
      <c r="C19" t="s">
        <v>81</v>
      </c>
    </row>
  </sheetData>
  <mergeCells count="14">
    <mergeCell ref="K16:K17"/>
    <mergeCell ref="R14:S14"/>
    <mergeCell ref="P16:P17"/>
    <mergeCell ref="A3:A4"/>
    <mergeCell ref="A5:A6"/>
    <mergeCell ref="A7:A8"/>
    <mergeCell ref="A9:A10"/>
    <mergeCell ref="A11:A12"/>
    <mergeCell ref="M14:N14"/>
    <mergeCell ref="B11:B12"/>
    <mergeCell ref="B3:B4"/>
    <mergeCell ref="B5:B6"/>
    <mergeCell ref="B7:B8"/>
    <mergeCell ref="B9:B1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"/>
  <sheetViews>
    <sheetView showGridLines="0" zoomScale="70" zoomScaleNormal="70" workbookViewId="0">
      <selection activeCell="G12" sqref="G12"/>
    </sheetView>
  </sheetViews>
  <sheetFormatPr defaultRowHeight="14.5" x14ac:dyDescent="0.35"/>
  <cols>
    <col min="1" max="1" width="3.6328125" bestFit="1" customWidth="1"/>
    <col min="2" max="2" width="25.81640625" customWidth="1"/>
    <col min="3" max="3" width="17.453125" customWidth="1"/>
    <col min="4" max="4" width="29.36328125" bestFit="1" customWidth="1"/>
    <col min="5" max="5" width="6.54296875" customWidth="1"/>
    <col min="6" max="6" width="13" customWidth="1"/>
    <col min="7" max="7" width="34" customWidth="1"/>
    <col min="8" max="8" width="12.54296875" bestFit="1" customWidth="1"/>
    <col min="9" max="9" width="17.6328125" customWidth="1"/>
  </cols>
  <sheetData>
    <row r="1" spans="1:14" ht="18.5" x14ac:dyDescent="0.45">
      <c r="A1" s="71" t="s">
        <v>136</v>
      </c>
    </row>
    <row r="2" spans="1:14" s="56" customFormat="1" ht="25.75" customHeight="1" x14ac:dyDescent="0.35">
      <c r="A2" s="52" t="s">
        <v>0</v>
      </c>
      <c r="B2" s="52" t="s">
        <v>119</v>
      </c>
      <c r="C2" s="52" t="s">
        <v>120</v>
      </c>
      <c r="D2" s="52" t="s">
        <v>121</v>
      </c>
      <c r="E2" s="102" t="s">
        <v>127</v>
      </c>
      <c r="F2" s="102"/>
      <c r="G2" s="52" t="s">
        <v>122</v>
      </c>
      <c r="H2" s="52" t="s">
        <v>123</v>
      </c>
      <c r="I2" s="52" t="s">
        <v>2</v>
      </c>
      <c r="M2" s="56" t="s">
        <v>161</v>
      </c>
      <c r="N2" s="56" t="s">
        <v>162</v>
      </c>
    </row>
    <row r="3" spans="1:14" ht="96" customHeight="1" x14ac:dyDescent="0.35">
      <c r="A3" s="19">
        <v>1</v>
      </c>
      <c r="B3" s="38" t="s">
        <v>65</v>
      </c>
      <c r="C3" s="38" t="s">
        <v>126</v>
      </c>
      <c r="D3" s="38" t="s">
        <v>124</v>
      </c>
      <c r="E3" s="59" t="s">
        <v>128</v>
      </c>
      <c r="F3" s="59" t="s">
        <v>129</v>
      </c>
      <c r="G3" s="37" t="s">
        <v>125</v>
      </c>
      <c r="H3" s="58">
        <v>100000</v>
      </c>
      <c r="I3" s="57"/>
      <c r="M3" s="70">
        <v>0</v>
      </c>
      <c r="N3" s="70">
        <v>5</v>
      </c>
    </row>
    <row r="4" spans="1:14" ht="102" customHeight="1" x14ac:dyDescent="0.35">
      <c r="A4" s="19">
        <v>2</v>
      </c>
      <c r="B4" s="38" t="s">
        <v>66</v>
      </c>
      <c r="C4" s="38" t="s">
        <v>81</v>
      </c>
      <c r="D4" s="38" t="s">
        <v>130</v>
      </c>
      <c r="E4" s="59" t="s">
        <v>128</v>
      </c>
      <c r="F4" s="59" t="s">
        <v>132</v>
      </c>
      <c r="G4" s="37" t="s">
        <v>131</v>
      </c>
      <c r="H4" s="58">
        <v>50000</v>
      </c>
      <c r="I4" s="19" t="s">
        <v>159</v>
      </c>
      <c r="M4" s="69">
        <v>0</v>
      </c>
      <c r="N4" s="69">
        <v>1</v>
      </c>
    </row>
    <row r="5" spans="1:14" ht="130.5" x14ac:dyDescent="0.35">
      <c r="A5" s="19">
        <v>3</v>
      </c>
      <c r="B5" s="38" t="s">
        <v>67</v>
      </c>
      <c r="C5" s="38" t="s">
        <v>84</v>
      </c>
      <c r="D5" s="38" t="s">
        <v>133</v>
      </c>
      <c r="E5" s="59" t="s">
        <v>128</v>
      </c>
      <c r="F5" s="59" t="s">
        <v>134</v>
      </c>
      <c r="G5" s="37" t="s">
        <v>151</v>
      </c>
      <c r="H5" s="58">
        <v>1500000</v>
      </c>
      <c r="I5" s="57" t="s">
        <v>160</v>
      </c>
      <c r="M5" s="70">
        <v>51</v>
      </c>
      <c r="N5" s="70">
        <v>100</v>
      </c>
    </row>
    <row r="6" spans="1:14" ht="105.65" customHeight="1" x14ac:dyDescent="0.35">
      <c r="A6" s="19">
        <v>4</v>
      </c>
      <c r="B6" s="38" t="s">
        <v>68</v>
      </c>
      <c r="C6" s="38" t="s">
        <v>86</v>
      </c>
      <c r="D6" s="38" t="s">
        <v>124</v>
      </c>
      <c r="E6" s="59" t="s">
        <v>128</v>
      </c>
      <c r="F6" s="59" t="s">
        <v>129</v>
      </c>
      <c r="G6" s="37" t="s">
        <v>125</v>
      </c>
      <c r="H6" s="58">
        <v>100000</v>
      </c>
      <c r="I6" s="19"/>
    </row>
    <row r="7" spans="1:14" ht="114" customHeight="1" x14ac:dyDescent="0.35">
      <c r="A7" s="19">
        <v>5</v>
      </c>
      <c r="B7" s="38" t="s">
        <v>87</v>
      </c>
      <c r="C7" s="38" t="s">
        <v>81</v>
      </c>
      <c r="D7" s="38" t="s">
        <v>130</v>
      </c>
      <c r="E7" s="59" t="s">
        <v>128</v>
      </c>
      <c r="F7" s="59" t="s">
        <v>132</v>
      </c>
      <c r="G7" s="37" t="s">
        <v>131</v>
      </c>
      <c r="H7" s="58">
        <v>50000</v>
      </c>
      <c r="I7" s="19"/>
    </row>
  </sheetData>
  <mergeCells count="1">
    <mergeCell ref="E2:F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18"/>
  <sheetViews>
    <sheetView workbookViewId="0">
      <selection activeCell="N21" sqref="N21"/>
    </sheetView>
  </sheetViews>
  <sheetFormatPr defaultRowHeight="14.5" x14ac:dyDescent="0.35"/>
  <cols>
    <col min="1" max="1" width="3.6328125" bestFit="1" customWidth="1"/>
    <col min="2" max="2" width="28.54296875" bestFit="1" customWidth="1"/>
    <col min="3" max="3" width="7.81640625" bestFit="1" customWidth="1"/>
    <col min="4" max="4" width="7.90625" bestFit="1" customWidth="1"/>
    <col min="5" max="5" width="15" customWidth="1"/>
    <col min="6" max="6" width="14.453125" customWidth="1"/>
  </cols>
  <sheetData>
    <row r="2" spans="1:6" x14ac:dyDescent="0.35">
      <c r="A2" s="63" t="s">
        <v>0</v>
      </c>
      <c r="B2" s="63" t="s">
        <v>137</v>
      </c>
      <c r="C2" s="63" t="s">
        <v>37</v>
      </c>
      <c r="D2" s="63" t="s">
        <v>138</v>
      </c>
      <c r="E2" s="63" t="s">
        <v>139</v>
      </c>
      <c r="F2" s="63" t="s">
        <v>4</v>
      </c>
    </row>
    <row r="3" spans="1:6" x14ac:dyDescent="0.35">
      <c r="A3" s="3">
        <v>1</v>
      </c>
      <c r="B3" s="3" t="s">
        <v>140</v>
      </c>
      <c r="C3" s="1" t="s">
        <v>141</v>
      </c>
      <c r="D3" s="1">
        <v>1</v>
      </c>
      <c r="E3" s="61">
        <v>50000</v>
      </c>
      <c r="F3" s="61">
        <f t="shared" ref="F3:F9" si="0">E3*D3</f>
        <v>50000</v>
      </c>
    </row>
    <row r="4" spans="1:6" x14ac:dyDescent="0.35">
      <c r="A4" s="3">
        <v>2</v>
      </c>
      <c r="B4" s="3" t="s">
        <v>143</v>
      </c>
      <c r="C4" s="1" t="s">
        <v>142</v>
      </c>
      <c r="D4" s="1">
        <f>5*11</f>
        <v>55</v>
      </c>
      <c r="E4" s="61">
        <v>2000</v>
      </c>
      <c r="F4" s="61">
        <f t="shared" si="0"/>
        <v>110000</v>
      </c>
    </row>
    <row r="5" spans="1:6" x14ac:dyDescent="0.35">
      <c r="A5" s="3">
        <v>3</v>
      </c>
      <c r="B5" s="3" t="s">
        <v>144</v>
      </c>
      <c r="C5" s="1" t="s">
        <v>145</v>
      </c>
      <c r="D5" s="1">
        <v>2</v>
      </c>
      <c r="E5" s="61">
        <v>130000</v>
      </c>
      <c r="F5" s="61">
        <f t="shared" si="0"/>
        <v>260000</v>
      </c>
    </row>
    <row r="6" spans="1:6" x14ac:dyDescent="0.35">
      <c r="A6" s="3">
        <v>4</v>
      </c>
      <c r="B6" s="3" t="s">
        <v>146</v>
      </c>
      <c r="C6" s="1" t="s">
        <v>142</v>
      </c>
      <c r="D6" s="1">
        <v>10</v>
      </c>
      <c r="E6" s="61">
        <v>2000</v>
      </c>
      <c r="F6" s="61">
        <f t="shared" si="0"/>
        <v>20000</v>
      </c>
    </row>
    <row r="7" spans="1:6" x14ac:dyDescent="0.35">
      <c r="A7" s="3">
        <v>5</v>
      </c>
      <c r="B7" s="3" t="s">
        <v>147</v>
      </c>
      <c r="C7" s="1" t="s">
        <v>142</v>
      </c>
      <c r="D7" s="1">
        <v>10</v>
      </c>
      <c r="E7" s="61">
        <v>5000</v>
      </c>
      <c r="F7" s="61">
        <f t="shared" si="0"/>
        <v>50000</v>
      </c>
    </row>
    <row r="8" spans="1:6" x14ac:dyDescent="0.35">
      <c r="A8" s="3">
        <v>6</v>
      </c>
      <c r="B8" s="3" t="s">
        <v>148</v>
      </c>
      <c r="C8" s="1" t="s">
        <v>141</v>
      </c>
      <c r="D8" s="1">
        <v>1</v>
      </c>
      <c r="E8" s="61">
        <v>50000</v>
      </c>
      <c r="F8" s="61">
        <f t="shared" si="0"/>
        <v>50000</v>
      </c>
    </row>
    <row r="9" spans="1:6" x14ac:dyDescent="0.35">
      <c r="A9" s="3">
        <v>7</v>
      </c>
      <c r="B9" s="3" t="s">
        <v>149</v>
      </c>
      <c r="C9" s="1" t="s">
        <v>141</v>
      </c>
      <c r="D9" s="1">
        <v>1</v>
      </c>
      <c r="E9" s="61">
        <f>SUM(F3:F8)*0.1</f>
        <v>54000</v>
      </c>
      <c r="F9" s="61">
        <f t="shared" si="0"/>
        <v>54000</v>
      </c>
    </row>
    <row r="10" spans="1:6" x14ac:dyDescent="0.35">
      <c r="A10" s="103" t="s">
        <v>150</v>
      </c>
      <c r="B10" s="104"/>
      <c r="C10" s="104"/>
      <c r="D10" s="104"/>
      <c r="E10" s="105"/>
      <c r="F10" s="62">
        <f>SUM(F3:F9)</f>
        <v>594000</v>
      </c>
    </row>
    <row r="11" spans="1:6" x14ac:dyDescent="0.35">
      <c r="E11" s="60"/>
      <c r="F11" s="60"/>
    </row>
    <row r="12" spans="1:6" x14ac:dyDescent="0.35">
      <c r="E12" s="60"/>
      <c r="F12" s="60"/>
    </row>
    <row r="13" spans="1:6" x14ac:dyDescent="0.35">
      <c r="E13" s="60"/>
      <c r="F13" s="60"/>
    </row>
    <row r="14" spans="1:6" x14ac:dyDescent="0.35">
      <c r="E14" s="60"/>
      <c r="F14" s="60"/>
    </row>
    <row r="15" spans="1:6" x14ac:dyDescent="0.35">
      <c r="E15" s="60"/>
      <c r="F15" s="60"/>
    </row>
    <row r="16" spans="1:6" x14ac:dyDescent="0.35">
      <c r="E16" s="60"/>
      <c r="F16" s="60"/>
    </row>
    <row r="17" spans="5:6" x14ac:dyDescent="0.35">
      <c r="E17" s="60"/>
      <c r="F17" s="60"/>
    </row>
    <row r="18" spans="5:6" x14ac:dyDescent="0.35">
      <c r="E18" s="60"/>
      <c r="F18" s="60"/>
    </row>
  </sheetData>
  <mergeCells count="1">
    <mergeCell ref="A10:E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showGridLines="0" zoomScale="80" zoomScaleNormal="80" workbookViewId="0">
      <selection activeCell="J12" sqref="J12"/>
    </sheetView>
  </sheetViews>
  <sheetFormatPr defaultRowHeight="14.5" x14ac:dyDescent="0.35"/>
  <cols>
    <col min="1" max="1" width="3.6328125" bestFit="1" customWidth="1"/>
    <col min="2" max="2" width="37.36328125" bestFit="1" customWidth="1"/>
    <col min="3" max="3" width="22.81640625" bestFit="1" customWidth="1"/>
    <col min="4" max="4" width="29.36328125" bestFit="1" customWidth="1"/>
    <col min="5" max="5" width="6.54296875" customWidth="1"/>
    <col min="6" max="6" width="13" customWidth="1"/>
    <col min="7" max="7" width="39.1796875" customWidth="1"/>
    <col min="8" max="8" width="12.54296875" bestFit="1" customWidth="1"/>
    <col min="9" max="9" width="12.6328125" customWidth="1"/>
  </cols>
  <sheetData>
    <row r="1" spans="1:9" x14ac:dyDescent="0.35">
      <c r="A1" s="4" t="s">
        <v>136</v>
      </c>
    </row>
    <row r="2" spans="1:9" s="56" customFormat="1" ht="25.75" customHeight="1" x14ac:dyDescent="0.35">
      <c r="A2" s="52" t="s">
        <v>0</v>
      </c>
      <c r="B2" s="52" t="s">
        <v>119</v>
      </c>
      <c r="C2" s="52" t="s">
        <v>120</v>
      </c>
      <c r="D2" s="52" t="s">
        <v>121</v>
      </c>
      <c r="E2" s="102" t="s">
        <v>127</v>
      </c>
      <c r="F2" s="102"/>
      <c r="G2" s="52" t="s">
        <v>122</v>
      </c>
      <c r="H2" s="52" t="s">
        <v>123</v>
      </c>
      <c r="I2" s="52" t="s">
        <v>2</v>
      </c>
    </row>
    <row r="3" spans="1:9" ht="58" x14ac:dyDescent="0.35">
      <c r="A3" s="19">
        <v>1</v>
      </c>
      <c r="B3" s="38" t="s">
        <v>65</v>
      </c>
      <c r="C3" s="38" t="s">
        <v>126</v>
      </c>
      <c r="D3" s="38" t="s">
        <v>124</v>
      </c>
      <c r="E3" s="59" t="s">
        <v>128</v>
      </c>
      <c r="F3" s="59" t="s">
        <v>129</v>
      </c>
      <c r="G3" s="37" t="s">
        <v>125</v>
      </c>
      <c r="H3" s="58">
        <v>100000</v>
      </c>
      <c r="I3" s="57" t="s">
        <v>163</v>
      </c>
    </row>
    <row r="6" spans="1:9" ht="26.4" customHeight="1" x14ac:dyDescent="0.35">
      <c r="A6" s="52" t="s">
        <v>0</v>
      </c>
      <c r="B6" s="52" t="s">
        <v>119</v>
      </c>
      <c r="C6" s="52" t="s">
        <v>120</v>
      </c>
      <c r="D6" s="52" t="s">
        <v>121</v>
      </c>
      <c r="E6" s="102" t="s">
        <v>127</v>
      </c>
      <c r="F6" s="102"/>
      <c r="G6" s="52" t="s">
        <v>122</v>
      </c>
      <c r="H6" s="52" t="s">
        <v>123</v>
      </c>
      <c r="I6" s="52" t="s">
        <v>2</v>
      </c>
    </row>
    <row r="7" spans="1:9" ht="43.5" x14ac:dyDescent="0.35">
      <c r="A7" s="19">
        <v>2</v>
      </c>
      <c r="B7" s="38" t="s">
        <v>66</v>
      </c>
      <c r="C7" s="38" t="s">
        <v>81</v>
      </c>
      <c r="D7" s="38" t="s">
        <v>130</v>
      </c>
      <c r="E7" s="59" t="s">
        <v>128</v>
      </c>
      <c r="F7" s="59" t="s">
        <v>132</v>
      </c>
      <c r="G7" s="37" t="s">
        <v>131</v>
      </c>
      <c r="H7" s="58">
        <v>50000</v>
      </c>
      <c r="I7" s="57" t="s">
        <v>164</v>
      </c>
    </row>
    <row r="10" spans="1:9" x14ac:dyDescent="0.35">
      <c r="A10" s="52" t="s">
        <v>0</v>
      </c>
      <c r="B10" s="52" t="s">
        <v>119</v>
      </c>
      <c r="C10" s="52" t="s">
        <v>120</v>
      </c>
      <c r="D10" s="52" t="s">
        <v>121</v>
      </c>
      <c r="E10" s="102" t="s">
        <v>127</v>
      </c>
      <c r="F10" s="102"/>
      <c r="G10" s="52" t="s">
        <v>122</v>
      </c>
      <c r="H10" s="52" t="s">
        <v>123</v>
      </c>
      <c r="I10" s="52" t="s">
        <v>2</v>
      </c>
    </row>
    <row r="11" spans="1:9" ht="101.5" x14ac:dyDescent="0.35">
      <c r="A11" s="19">
        <v>3</v>
      </c>
      <c r="B11" s="38" t="s">
        <v>67</v>
      </c>
      <c r="C11" s="38" t="s">
        <v>84</v>
      </c>
      <c r="D11" s="38" t="s">
        <v>133</v>
      </c>
      <c r="E11" s="59" t="s">
        <v>128</v>
      </c>
      <c r="F11" s="59" t="s">
        <v>134</v>
      </c>
      <c r="G11" s="37" t="s">
        <v>135</v>
      </c>
      <c r="H11" s="58">
        <v>1500000</v>
      </c>
      <c r="I11" s="57" t="s">
        <v>165</v>
      </c>
    </row>
    <row r="14" spans="1:9" x14ac:dyDescent="0.35">
      <c r="A14" s="52" t="s">
        <v>0</v>
      </c>
      <c r="B14" s="52" t="s">
        <v>119</v>
      </c>
      <c r="C14" s="52" t="s">
        <v>120</v>
      </c>
      <c r="D14" s="52" t="s">
        <v>121</v>
      </c>
      <c r="E14" s="102" t="s">
        <v>127</v>
      </c>
      <c r="F14" s="102"/>
      <c r="G14" s="52" t="s">
        <v>122</v>
      </c>
      <c r="H14" s="52" t="s">
        <v>123</v>
      </c>
      <c r="I14" s="52" t="s">
        <v>2</v>
      </c>
    </row>
    <row r="15" spans="1:9" ht="58" x14ac:dyDescent="0.35">
      <c r="A15" s="19">
        <v>4</v>
      </c>
      <c r="B15" s="38" t="s">
        <v>68</v>
      </c>
      <c r="C15" s="38" t="s">
        <v>86</v>
      </c>
      <c r="D15" s="38" t="s">
        <v>124</v>
      </c>
      <c r="E15" s="59" t="s">
        <v>128</v>
      </c>
      <c r="F15" s="59" t="s">
        <v>129</v>
      </c>
      <c r="G15" s="37" t="s">
        <v>125</v>
      </c>
      <c r="H15" s="58">
        <v>100000</v>
      </c>
      <c r="I15" s="57" t="s">
        <v>164</v>
      </c>
    </row>
    <row r="18" spans="1:9" x14ac:dyDescent="0.35">
      <c r="A18" s="52" t="s">
        <v>0</v>
      </c>
      <c r="B18" s="52" t="s">
        <v>119</v>
      </c>
      <c r="C18" s="52" t="s">
        <v>120</v>
      </c>
      <c r="D18" s="52" t="s">
        <v>121</v>
      </c>
      <c r="E18" s="102" t="s">
        <v>127</v>
      </c>
      <c r="F18" s="102"/>
      <c r="G18" s="52" t="s">
        <v>122</v>
      </c>
      <c r="H18" s="52" t="s">
        <v>123</v>
      </c>
      <c r="I18" s="52" t="s">
        <v>2</v>
      </c>
    </row>
    <row r="19" spans="1:9" ht="43.5" x14ac:dyDescent="0.35">
      <c r="A19" s="19">
        <v>5</v>
      </c>
      <c r="B19" s="38" t="s">
        <v>87</v>
      </c>
      <c r="C19" s="38" t="s">
        <v>81</v>
      </c>
      <c r="D19" s="38" t="s">
        <v>130</v>
      </c>
      <c r="E19" s="59" t="s">
        <v>128</v>
      </c>
      <c r="F19" s="59" t="s">
        <v>132</v>
      </c>
      <c r="G19" s="37" t="s">
        <v>131</v>
      </c>
      <c r="H19" s="58">
        <v>50000</v>
      </c>
      <c r="I19" s="57" t="s">
        <v>164</v>
      </c>
    </row>
  </sheetData>
  <mergeCells count="5">
    <mergeCell ref="E2:F2"/>
    <mergeCell ref="E6:F6"/>
    <mergeCell ref="E10:F10"/>
    <mergeCell ref="E14:F14"/>
    <mergeCell ref="E18:F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4"/>
  <sheetViews>
    <sheetView workbookViewId="0">
      <selection activeCell="B2" sqref="B2:H24"/>
    </sheetView>
  </sheetViews>
  <sheetFormatPr defaultRowHeight="14.5" x14ac:dyDescent="0.35"/>
  <cols>
    <col min="1" max="1" width="4" bestFit="1" customWidth="1"/>
    <col min="2" max="2" width="10.54296875" bestFit="1" customWidth="1"/>
    <col min="5" max="5" width="13.453125" style="72" bestFit="1" customWidth="1"/>
    <col min="7" max="7" width="7.54296875" bestFit="1" customWidth="1"/>
    <col min="8" max="8" width="19.08984375" bestFit="1" customWidth="1"/>
    <col min="9" max="9" width="89.1796875" bestFit="1" customWidth="1"/>
  </cols>
  <sheetData>
    <row r="1" spans="1:10" ht="15" customHeight="1" x14ac:dyDescent="0.35">
      <c r="A1" s="42" t="s">
        <v>171</v>
      </c>
      <c r="B1" s="42" t="s">
        <v>172</v>
      </c>
      <c r="C1" s="42" t="s">
        <v>173</v>
      </c>
      <c r="D1" s="42" t="s">
        <v>178</v>
      </c>
      <c r="E1" s="42" t="s">
        <v>179</v>
      </c>
      <c r="F1" s="42" t="s">
        <v>174</v>
      </c>
      <c r="G1" s="42" t="s">
        <v>175</v>
      </c>
      <c r="H1" s="42" t="s">
        <v>176</v>
      </c>
      <c r="I1" s="42" t="s">
        <v>177</v>
      </c>
    </row>
    <row r="2" spans="1:10" x14ac:dyDescent="0.35">
      <c r="A2">
        <v>1</v>
      </c>
      <c r="B2" s="76">
        <v>45140</v>
      </c>
      <c r="C2" t="s">
        <v>180</v>
      </c>
      <c r="D2" s="73">
        <v>0.71243000000000001</v>
      </c>
      <c r="E2" s="73">
        <v>116.69862000000001</v>
      </c>
      <c r="F2" t="s">
        <v>181</v>
      </c>
      <c r="G2" t="s">
        <v>182</v>
      </c>
      <c r="H2" t="s">
        <v>183</v>
      </c>
      <c r="I2" t="s">
        <v>184</v>
      </c>
    </row>
    <row r="3" spans="1:10" x14ac:dyDescent="0.35">
      <c r="A3">
        <v>2</v>
      </c>
      <c r="B3" s="76">
        <v>45143</v>
      </c>
      <c r="C3" t="s">
        <v>180</v>
      </c>
      <c r="D3" s="73"/>
      <c r="E3" s="73"/>
      <c r="F3" t="s">
        <v>181</v>
      </c>
      <c r="G3" t="s">
        <v>182</v>
      </c>
      <c r="H3" t="s">
        <v>185</v>
      </c>
      <c r="I3" t="s">
        <v>186</v>
      </c>
    </row>
    <row r="4" spans="1:10" x14ac:dyDescent="0.35">
      <c r="A4">
        <v>3</v>
      </c>
      <c r="B4" s="76">
        <v>45144</v>
      </c>
      <c r="C4" t="s">
        <v>187</v>
      </c>
      <c r="D4" s="73">
        <v>1.0669999999999999</v>
      </c>
      <c r="E4" s="73">
        <v>116.849</v>
      </c>
      <c r="F4" t="s">
        <v>181</v>
      </c>
      <c r="G4" t="s">
        <v>188</v>
      </c>
      <c r="H4" t="s">
        <v>189</v>
      </c>
      <c r="I4" t="s">
        <v>190</v>
      </c>
    </row>
    <row r="5" spans="1:10" x14ac:dyDescent="0.35">
      <c r="A5">
        <v>4</v>
      </c>
      <c r="B5" s="76">
        <v>45144</v>
      </c>
      <c r="C5" t="s">
        <v>187</v>
      </c>
      <c r="D5" s="73">
        <v>0.6166666666666667</v>
      </c>
      <c r="E5" s="73">
        <v>116.78100000000001</v>
      </c>
      <c r="F5" t="s">
        <v>191</v>
      </c>
      <c r="G5" t="s">
        <v>182</v>
      </c>
      <c r="H5" t="s">
        <v>183</v>
      </c>
      <c r="I5" t="s">
        <v>192</v>
      </c>
    </row>
    <row r="6" spans="1:10" x14ac:dyDescent="0.35">
      <c r="A6">
        <v>5</v>
      </c>
      <c r="B6" s="76">
        <v>45156</v>
      </c>
      <c r="C6" t="s">
        <v>180</v>
      </c>
      <c r="D6" s="73"/>
      <c r="E6" s="73"/>
      <c r="F6" t="s">
        <v>191</v>
      </c>
      <c r="G6" t="s">
        <v>182</v>
      </c>
      <c r="H6" t="s">
        <v>183</v>
      </c>
      <c r="I6" t="s">
        <v>193</v>
      </c>
    </row>
    <row r="7" spans="1:10" x14ac:dyDescent="0.35">
      <c r="A7">
        <v>6</v>
      </c>
      <c r="B7" s="76">
        <v>45162</v>
      </c>
      <c r="C7" t="s">
        <v>187</v>
      </c>
      <c r="D7" s="73">
        <v>0.48958333333333331</v>
      </c>
      <c r="E7" s="73">
        <v>116.654</v>
      </c>
      <c r="F7" t="s">
        <v>181</v>
      </c>
      <c r="G7" t="s">
        <v>188</v>
      </c>
      <c r="H7" t="s">
        <v>189</v>
      </c>
      <c r="I7" t="s">
        <v>194</v>
      </c>
    </row>
    <row r="8" spans="1:10" x14ac:dyDescent="0.35">
      <c r="A8">
        <v>7</v>
      </c>
      <c r="B8" s="76">
        <v>45164</v>
      </c>
      <c r="C8" t="s">
        <v>180</v>
      </c>
      <c r="D8" s="73">
        <v>0.43541666666666662</v>
      </c>
      <c r="E8" s="73">
        <v>116.738</v>
      </c>
      <c r="F8" t="s">
        <v>191</v>
      </c>
      <c r="G8" t="s">
        <v>182</v>
      </c>
      <c r="H8" t="s">
        <v>183</v>
      </c>
      <c r="I8" t="s">
        <v>195</v>
      </c>
    </row>
    <row r="9" spans="1:10" x14ac:dyDescent="0.35">
      <c r="A9">
        <v>8</v>
      </c>
      <c r="B9" s="76">
        <v>45168</v>
      </c>
      <c r="C9" t="s">
        <v>187</v>
      </c>
      <c r="D9" s="74">
        <v>0.70699999999999996</v>
      </c>
      <c r="E9" s="73">
        <v>116.705</v>
      </c>
      <c r="F9" t="s">
        <v>181</v>
      </c>
      <c r="G9" t="s">
        <v>182</v>
      </c>
      <c r="H9" t="s">
        <v>185</v>
      </c>
      <c r="I9" t="s">
        <v>196</v>
      </c>
    </row>
    <row r="10" spans="1:10" x14ac:dyDescent="0.35">
      <c r="A10">
        <v>9</v>
      </c>
      <c r="B10" s="76">
        <v>45168</v>
      </c>
      <c r="C10" t="s">
        <v>187</v>
      </c>
      <c r="D10" s="73">
        <v>0.63800000000000001</v>
      </c>
      <c r="E10" s="73">
        <v>116.727</v>
      </c>
      <c r="F10" t="s">
        <v>181</v>
      </c>
      <c r="G10" t="s">
        <v>188</v>
      </c>
      <c r="H10" t="s">
        <v>189</v>
      </c>
      <c r="I10" t="s">
        <v>197</v>
      </c>
    </row>
    <row r="11" spans="1:10" x14ac:dyDescent="0.35">
      <c r="A11">
        <v>10</v>
      </c>
      <c r="B11" s="76">
        <v>45168</v>
      </c>
      <c r="C11" t="s">
        <v>180</v>
      </c>
      <c r="D11" s="73">
        <v>0.64783000000000002</v>
      </c>
      <c r="E11" s="73">
        <v>116.73425</v>
      </c>
      <c r="F11" t="s">
        <v>191</v>
      </c>
      <c r="G11" t="s">
        <v>182</v>
      </c>
      <c r="H11" t="s">
        <v>183</v>
      </c>
      <c r="I11" t="s">
        <v>198</v>
      </c>
      <c r="J11" s="75"/>
    </row>
    <row r="12" spans="1:10" x14ac:dyDescent="0.35">
      <c r="A12">
        <v>11</v>
      </c>
      <c r="B12" s="76">
        <v>45168</v>
      </c>
      <c r="C12" t="s">
        <v>187</v>
      </c>
      <c r="D12" s="73">
        <v>5.6944444444444443E-2</v>
      </c>
      <c r="E12" s="73">
        <v>116.758</v>
      </c>
      <c r="F12" t="s">
        <v>181</v>
      </c>
      <c r="G12" t="s">
        <v>199</v>
      </c>
      <c r="H12" t="s">
        <v>200</v>
      </c>
      <c r="I12" t="s">
        <v>201</v>
      </c>
    </row>
    <row r="13" spans="1:10" x14ac:dyDescent="0.35">
      <c r="A13">
        <v>12</v>
      </c>
      <c r="B13" s="76">
        <v>45168</v>
      </c>
      <c r="C13" t="s">
        <v>187</v>
      </c>
      <c r="D13" s="73">
        <v>0.71099999999999997</v>
      </c>
      <c r="E13" s="73">
        <v>116.70399999999999</v>
      </c>
      <c r="F13" t="s">
        <v>181</v>
      </c>
      <c r="G13" t="s">
        <v>188</v>
      </c>
      <c r="H13" t="s">
        <v>200</v>
      </c>
      <c r="I13" t="s">
        <v>202</v>
      </c>
    </row>
    <row r="14" spans="1:10" x14ac:dyDescent="0.35">
      <c r="A14">
        <v>13</v>
      </c>
      <c r="B14" s="76">
        <v>45168</v>
      </c>
      <c r="C14" t="s">
        <v>187</v>
      </c>
      <c r="D14" s="73">
        <v>0.44375000000000003</v>
      </c>
      <c r="E14" s="73">
        <v>116.72499999999999</v>
      </c>
      <c r="F14" t="s">
        <v>181</v>
      </c>
      <c r="G14" t="s">
        <v>188</v>
      </c>
      <c r="H14" t="s">
        <v>189</v>
      </c>
      <c r="I14" t="s">
        <v>203</v>
      </c>
    </row>
    <row r="15" spans="1:10" x14ac:dyDescent="0.35">
      <c r="A15">
        <v>14</v>
      </c>
      <c r="B15" s="76">
        <v>45168</v>
      </c>
      <c r="C15" t="s">
        <v>187</v>
      </c>
      <c r="D15" s="73">
        <v>0.4916666666666667</v>
      </c>
      <c r="E15" s="73">
        <v>116.729</v>
      </c>
      <c r="F15" t="s">
        <v>181</v>
      </c>
      <c r="G15" t="s">
        <v>199</v>
      </c>
      <c r="H15" t="s">
        <v>200</v>
      </c>
      <c r="I15" t="s">
        <v>204</v>
      </c>
    </row>
    <row r="16" spans="1:10" x14ac:dyDescent="0.35">
      <c r="A16">
        <v>15</v>
      </c>
      <c r="B16" s="76">
        <v>45168</v>
      </c>
      <c r="C16" t="s">
        <v>187</v>
      </c>
      <c r="D16" s="73">
        <v>0.49583333333333335</v>
      </c>
      <c r="E16" s="73">
        <v>116.679</v>
      </c>
      <c r="F16" t="s">
        <v>181</v>
      </c>
      <c r="G16" t="s">
        <v>182</v>
      </c>
      <c r="H16" t="s">
        <v>189</v>
      </c>
      <c r="I16" t="s">
        <v>205</v>
      </c>
    </row>
    <row r="17" spans="1:9" x14ac:dyDescent="0.35">
      <c r="A17">
        <v>16</v>
      </c>
      <c r="B17" s="76">
        <v>45170</v>
      </c>
      <c r="C17" t="s">
        <v>187</v>
      </c>
      <c r="D17" s="73">
        <v>0.57291666666666663</v>
      </c>
      <c r="E17" s="73">
        <v>116.768</v>
      </c>
      <c r="F17" t="s">
        <v>181</v>
      </c>
      <c r="G17" t="s">
        <v>188</v>
      </c>
      <c r="H17" t="s">
        <v>189</v>
      </c>
      <c r="I17" t="s">
        <v>206</v>
      </c>
    </row>
    <row r="18" spans="1:9" x14ac:dyDescent="0.35">
      <c r="A18">
        <v>17</v>
      </c>
      <c r="B18" s="76">
        <v>45170</v>
      </c>
      <c r="C18" t="s">
        <v>187</v>
      </c>
      <c r="D18" s="73">
        <v>0.49374999999999997</v>
      </c>
      <c r="E18" s="73">
        <v>116.732</v>
      </c>
      <c r="F18" t="s">
        <v>181</v>
      </c>
      <c r="G18" t="s">
        <v>188</v>
      </c>
      <c r="H18" t="s">
        <v>189</v>
      </c>
      <c r="I18" t="s">
        <v>207</v>
      </c>
    </row>
    <row r="19" spans="1:9" x14ac:dyDescent="0.35">
      <c r="A19">
        <v>18</v>
      </c>
      <c r="B19" s="76">
        <v>45170</v>
      </c>
      <c r="C19" t="s">
        <v>187</v>
      </c>
      <c r="D19" s="73">
        <v>0.40625</v>
      </c>
      <c r="E19" s="73">
        <v>116.759</v>
      </c>
      <c r="F19" t="s">
        <v>181</v>
      </c>
      <c r="G19" t="s">
        <v>188</v>
      </c>
      <c r="H19" t="s">
        <v>189</v>
      </c>
      <c r="I19" t="s">
        <v>202</v>
      </c>
    </row>
    <row r="20" spans="1:9" x14ac:dyDescent="0.35">
      <c r="A20">
        <v>19</v>
      </c>
      <c r="B20" s="76">
        <v>45170</v>
      </c>
      <c r="C20" t="s">
        <v>187</v>
      </c>
      <c r="D20" s="73">
        <v>0.46875</v>
      </c>
      <c r="E20" s="73">
        <v>116.73699999999999</v>
      </c>
      <c r="F20" t="s">
        <v>181</v>
      </c>
      <c r="G20" t="s">
        <v>188</v>
      </c>
      <c r="H20" t="s">
        <v>189</v>
      </c>
      <c r="I20" t="s">
        <v>208</v>
      </c>
    </row>
    <row r="21" spans="1:9" x14ac:dyDescent="0.35">
      <c r="A21">
        <v>20</v>
      </c>
      <c r="B21" s="76">
        <v>45174</v>
      </c>
      <c r="C21" t="s">
        <v>187</v>
      </c>
      <c r="D21" s="73">
        <v>1.6830000000000001</v>
      </c>
      <c r="E21" s="73">
        <v>116.73099999999999</v>
      </c>
      <c r="F21" t="s">
        <v>181</v>
      </c>
      <c r="G21" t="s">
        <v>188</v>
      </c>
      <c r="H21" t="s">
        <v>189</v>
      </c>
      <c r="I21" t="s">
        <v>197</v>
      </c>
    </row>
    <row r="22" spans="1:9" x14ac:dyDescent="0.35">
      <c r="A22">
        <v>21</v>
      </c>
      <c r="B22" s="76">
        <v>45175</v>
      </c>
      <c r="C22" t="s">
        <v>180</v>
      </c>
      <c r="D22" s="73">
        <v>0.47430555555555554</v>
      </c>
      <c r="E22" s="73">
        <v>116.72199999999999</v>
      </c>
      <c r="F22" t="s">
        <v>191</v>
      </c>
      <c r="G22" t="s">
        <v>182</v>
      </c>
      <c r="H22" t="s">
        <v>183</v>
      </c>
      <c r="I22" t="s">
        <v>209</v>
      </c>
    </row>
    <row r="23" spans="1:9" x14ac:dyDescent="0.35">
      <c r="A23">
        <v>22</v>
      </c>
      <c r="B23" s="76">
        <v>45187</v>
      </c>
      <c r="C23" t="s">
        <v>180</v>
      </c>
      <c r="D23" s="73">
        <v>0.45694444444444443</v>
      </c>
      <c r="E23" s="73">
        <v>116.72799999999999</v>
      </c>
      <c r="F23" t="s">
        <v>191</v>
      </c>
      <c r="G23" t="s">
        <v>182</v>
      </c>
      <c r="H23" t="s">
        <v>183</v>
      </c>
      <c r="I23" t="s">
        <v>210</v>
      </c>
    </row>
    <row r="24" spans="1:9" x14ac:dyDescent="0.35">
      <c r="A24">
        <v>23</v>
      </c>
      <c r="B24" s="76">
        <v>45196</v>
      </c>
      <c r="C24" t="s">
        <v>180</v>
      </c>
      <c r="D24" s="73">
        <v>0.46319444444444446</v>
      </c>
      <c r="E24" s="73">
        <v>116.723</v>
      </c>
      <c r="F24" t="s">
        <v>191</v>
      </c>
      <c r="G24" t="s">
        <v>182</v>
      </c>
      <c r="H24" t="s">
        <v>183</v>
      </c>
      <c r="I24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Anggota</vt:lpstr>
      <vt:lpstr>Step1</vt:lpstr>
      <vt:lpstr>strafikasi data</vt:lpstr>
      <vt:lpstr>anaconda 2</vt:lpstr>
      <vt:lpstr>tulang ikan</vt:lpstr>
      <vt:lpstr>smart</vt:lpstr>
      <vt:lpstr>uji korelasi</vt:lpstr>
      <vt:lpstr>alternative solusi</vt:lpstr>
      <vt:lpstr>rencana aktivitas</vt:lpstr>
      <vt:lpstr>biaya perbaikan</vt:lpstr>
      <vt:lpstr>AktifitasKegiatan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yuliz</dc:creator>
  <cp:lastModifiedBy>Mitra</cp:lastModifiedBy>
  <dcterms:created xsi:type="dcterms:W3CDTF">2023-02-21T06:32:44Z</dcterms:created>
  <dcterms:modified xsi:type="dcterms:W3CDTF">2026-03-10T10:27:34Z</dcterms:modified>
</cp:coreProperties>
</file>